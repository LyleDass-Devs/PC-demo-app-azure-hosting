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anele\Google Drive\TESS ZULULAND\Payment Certificates\Mei 2025\O-ZNT1129\"/>
    </mc:Choice>
  </mc:AlternateContent>
  <xr:revisionPtr revIDLastSave="0" documentId="8_{AB91A363-8D05-4037-9B94-FC2D97672722}" xr6:coauthVersionLast="47" xr6:coauthVersionMax="47" xr10:uidLastSave="{00000000-0000-0000-0000-000000000000}"/>
  <bookViews>
    <workbookView xWindow="-20610" yWindow="2715" windowWidth="20730" windowHeight="11040" tabRatio="950" firstSheet="1" activeTab="2" xr2:uid="{00000000-000D-0000-FFFF-FFFF00000000}"/>
  </bookViews>
  <sheets>
    <sheet name="STATS &amp; KPIs" sheetId="22" r:id="rId1"/>
    <sheet name="FORM A" sheetId="1" r:id="rId2"/>
    <sheet name="FORM B" sheetId="4" r:id="rId3"/>
    <sheet name="FORM C" sheetId="2" r:id="rId4"/>
    <sheet name="FORM D" sheetId="5" r:id="rId5"/>
    <sheet name="FORM E" sheetId="6" r:id="rId6"/>
    <sheet name="FORM H" sheetId="10" r:id="rId7"/>
    <sheet name="FORM F1 SUB - STD BUS" sheetId="7" r:id="rId8"/>
    <sheet name="FORM F2 UNSUB - STD BUS " sheetId="24" r:id="rId9"/>
    <sheet name="FORM G1" sheetId="9" r:id="rId10"/>
    <sheet name="FORM G2" sheetId="18" r:id="rId11"/>
    <sheet name="FORM I1 SUB STD NORMAL" sheetId="21" r:id="rId12"/>
    <sheet name="FORM I2 UNSUB STD " sheetId="26" r:id="rId13"/>
    <sheet name="FORM I1 SUB STD NORMAL SK" sheetId="27" r:id="rId14"/>
  </sheets>
  <externalReferences>
    <externalReference r:id="rId15"/>
    <externalReference r:id="rId16"/>
    <externalReference r:id="rId17"/>
  </externalReferences>
  <definedNames>
    <definedName name="_xlnm._FilterDatabase" localSheetId="4" hidden="1">'FORM D'!$B$1:$B$344</definedName>
    <definedName name="_xlnm._FilterDatabase" localSheetId="7" hidden="1">'FORM F1 SUB - STD BUS'!$Y$1:$Y$635</definedName>
    <definedName name="_xlnm._FilterDatabase" localSheetId="8" hidden="1">'FORM F2 UNSUB - STD BUS '!$F$1:$F$600</definedName>
    <definedName name="_xlnm._FilterDatabase" localSheetId="9" hidden="1">'FORM G1'!$B$1:$B$53</definedName>
    <definedName name="_xlnm._FilterDatabase" localSheetId="11" hidden="1">'FORM I1 SUB STD NORMAL'!$B$16:$M$55</definedName>
    <definedName name="_xlnm._FilterDatabase" localSheetId="13" hidden="1">'FORM I1 SUB STD NORMAL SK'!$B$16:$M$55</definedName>
    <definedName name="_xlnm._FilterDatabase" localSheetId="12" hidden="1">'FORM I2 UNSUB STD '!$C$1:$C$40</definedName>
    <definedName name="_xlnm.Print_Area" localSheetId="1">'FORM A'!$A$1:$I$75</definedName>
    <definedName name="_xlnm.Print_Area" localSheetId="2">'FORM B'!$A$1:$I$339</definedName>
    <definedName name="_xlnm.Print_Area" localSheetId="3">'FORM C'!$A$1:$G$338</definedName>
    <definedName name="_xlnm.Print_Area" localSheetId="4">'FORM D'!$A$1:$G$344</definedName>
    <definedName name="_xlnm.Print_Area" localSheetId="5">'FORM E'!$A$1:$H$57</definedName>
    <definedName name="_xlnm.Print_Area" localSheetId="7">'FORM F1 SUB - STD BUS'!$B$1:$Z$58</definedName>
    <definedName name="_xlnm.Print_Area" localSheetId="8">'FORM F2 UNSUB - STD BUS '!$B$1:$Z$23</definedName>
    <definedName name="_xlnm.Print_Area" localSheetId="9">'FORM G1'!$A$1:$Q$53</definedName>
    <definedName name="_xlnm.Print_Area" localSheetId="10">'FORM G2'!$A$1:$I$59</definedName>
    <definedName name="_xlnm.Print_Area" localSheetId="6">'FORM H'!$A$1:$I$325</definedName>
    <definedName name="_xlnm.Print_Area" localSheetId="11">'FORM I1 SUB STD NORMAL'!$B$1:$P$59</definedName>
    <definedName name="_xlnm.Print_Area" localSheetId="13">'FORM I1 SUB STD NORMAL SK'!$B$1:$P$59</definedName>
    <definedName name="_xlnm.Print_Area" localSheetId="12">'FORM I2 UNSUB STD '!$B$1:$P$24</definedName>
    <definedName name="_xlnm.Print_Area" localSheetId="0">'STATS &amp; KPIs'!$B$1:$M$60</definedName>
    <definedName name="_xlnm.Print_Titles" localSheetId="2">'FORM B'!$3:$15</definedName>
    <definedName name="_xlnm.Print_Titles" localSheetId="3">'FORM C'!$3:$15</definedName>
    <definedName name="_xlnm.Print_Titles" localSheetId="4">'FORM D'!$2:$21</definedName>
    <definedName name="_xlnm.Print_Titles" localSheetId="7">'FORM F1 SUB - STD BUS'!$1:$16</definedName>
    <definedName name="_xlnm.Print_Titles" localSheetId="8">'FORM F2 UNSUB - STD BUS '!$1:$16</definedName>
    <definedName name="_xlnm.Print_Titles" localSheetId="9">'FORM G1'!$3:$13</definedName>
    <definedName name="_xlnm.Print_Titles" localSheetId="11">'FORM I1 SUB STD NORMAL'!$1:$15</definedName>
    <definedName name="_xlnm.Print_Titles" localSheetId="13">'FORM I1 SUB STD NORMAL SK'!$1:$15</definedName>
    <definedName name="_xlnm.Print_Titles" localSheetId="12">'FORM I2 UNSUB STD '!$1:$15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" i="18" l="1"/>
  <c r="O22" i="9"/>
  <c r="O21" i="9"/>
  <c r="O15" i="9"/>
  <c r="O16" i="9"/>
  <c r="O17" i="9"/>
  <c r="O18" i="9"/>
  <c r="O19" i="9"/>
  <c r="O20" i="9"/>
  <c r="O14" i="9"/>
  <c r="L15" i="9"/>
  <c r="L16" i="9"/>
  <c r="L21" i="9"/>
  <c r="L19" i="9"/>
  <c r="L20" i="9"/>
  <c r="L17" i="9"/>
  <c r="L18" i="9"/>
  <c r="L22" i="9"/>
  <c r="L14" i="9"/>
  <c r="G341" i="5"/>
  <c r="E335" i="2" s="1"/>
  <c r="E335" i="4"/>
  <c r="F33" i="1" l="1"/>
  <c r="G340" i="5"/>
  <c r="E334" i="2" s="1"/>
  <c r="E334" i="4"/>
  <c r="G339" i="5"/>
  <c r="E333" i="2" s="1"/>
  <c r="E333" i="4"/>
  <c r="G338" i="5"/>
  <c r="E332" i="2" s="1"/>
  <c r="E332" i="4"/>
  <c r="G337" i="5"/>
  <c r="E331" i="2" s="1"/>
  <c r="E331" i="4"/>
  <c r="G336" i="5"/>
  <c r="E330" i="2" s="1"/>
  <c r="E330" i="4"/>
  <c r="G335" i="5"/>
  <c r="E329" i="2" s="1"/>
  <c r="E329" i="4"/>
  <c r="G334" i="5"/>
  <c r="E328" i="2" s="1"/>
  <c r="E328" i="4"/>
  <c r="G333" i="5"/>
  <c r="E327" i="2" s="1"/>
  <c r="E327" i="4"/>
  <c r="G332" i="5"/>
  <c r="E326" i="2" s="1"/>
  <c r="E326" i="4"/>
  <c r="O64" i="21"/>
  <c r="Z53" i="7"/>
  <c r="Z54" i="7"/>
  <c r="Z55" i="7"/>
  <c r="Z56" i="7"/>
  <c r="G331" i="5"/>
  <c r="E325" i="2" s="1"/>
  <c r="E325" i="4"/>
  <c r="G330" i="5"/>
  <c r="E324" i="2" s="1"/>
  <c r="E324" i="4"/>
  <c r="M343" i="2"/>
  <c r="G329" i="5"/>
  <c r="E323" i="2" s="1"/>
  <c r="E323" i="4"/>
  <c r="G328" i="5"/>
  <c r="E322" i="2" s="1"/>
  <c r="E322" i="4"/>
  <c r="G327" i="5"/>
  <c r="E321" i="2" s="1"/>
  <c r="E321" i="4"/>
  <c r="G326" i="5"/>
  <c r="E320" i="2" s="1"/>
  <c r="E320" i="4"/>
  <c r="G325" i="5"/>
  <c r="E319" i="2" s="1"/>
  <c r="E319" i="4"/>
  <c r="G324" i="5"/>
  <c r="E318" i="2" s="1"/>
  <c r="E318" i="4"/>
  <c r="G323" i="5"/>
  <c r="E317" i="2" s="1"/>
  <c r="E317" i="4"/>
  <c r="G322" i="5"/>
  <c r="E316" i="2" s="1"/>
  <c r="E316" i="4"/>
  <c r="G321" i="5"/>
  <c r="E315" i="2" s="1"/>
  <c r="E315" i="4"/>
  <c r="G320" i="5"/>
  <c r="E314" i="2" s="1"/>
  <c r="E314" i="4"/>
  <c r="M344" i="2" l="1"/>
  <c r="M345" i="2" s="1"/>
  <c r="O33" i="9"/>
  <c r="V296" i="4"/>
  <c r="V295" i="4"/>
  <c r="V294" i="4"/>
  <c r="V293" i="4"/>
  <c r="V292" i="4"/>
  <c r="V291" i="4"/>
  <c r="V290" i="4"/>
  <c r="V289" i="4"/>
  <c r="V288" i="4"/>
  <c r="V287" i="4"/>
  <c r="V286" i="4"/>
  <c r="V285" i="4"/>
  <c r="V284" i="4"/>
  <c r="V283" i="4"/>
  <c r="V282" i="4"/>
  <c r="V281" i="4"/>
  <c r="V280" i="4"/>
  <c r="V279" i="4"/>
  <c r="V278" i="4"/>
  <c r="V277" i="4"/>
  <c r="V276" i="4"/>
  <c r="V275" i="4"/>
  <c r="V274" i="4"/>
  <c r="V273" i="4"/>
  <c r="V272" i="4"/>
  <c r="V271" i="4"/>
  <c r="V270" i="4"/>
  <c r="V269" i="4"/>
  <c r="V268" i="4"/>
  <c r="V267" i="4"/>
  <c r="V266" i="4"/>
  <c r="V265" i="4"/>
  <c r="V264" i="4"/>
  <c r="V263" i="4"/>
  <c r="V262" i="4"/>
  <c r="V261" i="4"/>
  <c r="V260" i="4"/>
  <c r="V259" i="4"/>
  <c r="G319" i="5"/>
  <c r="E313" i="2" s="1"/>
  <c r="E313" i="4"/>
  <c r="J314" i="2" l="1"/>
  <c r="K314" i="2" s="1"/>
  <c r="V297" i="4"/>
  <c r="J308" i="2" s="1"/>
  <c r="K308" i="2" s="1"/>
  <c r="G318" i="5"/>
  <c r="E312" i="2" s="1"/>
  <c r="E312" i="4"/>
  <c r="G317" i="5"/>
  <c r="E311" i="2" s="1"/>
  <c r="E311" i="4"/>
  <c r="I301" i="2"/>
  <c r="K301" i="2" s="1"/>
  <c r="G316" i="5"/>
  <c r="E310" i="2" s="1"/>
  <c r="E310" i="4"/>
  <c r="G315" i="5"/>
  <c r="E309" i="2" s="1"/>
  <c r="E309" i="4"/>
  <c r="G314" i="5"/>
  <c r="E308" i="2" s="1"/>
  <c r="E308" i="4"/>
  <c r="G313" i="5"/>
  <c r="E307" i="2" s="1"/>
  <c r="E307" i="4"/>
  <c r="G312" i="5"/>
  <c r="E306" i="2" s="1"/>
  <c r="E306" i="4"/>
  <c r="G311" i="5"/>
  <c r="E305" i="2" s="1"/>
  <c r="E305" i="4"/>
  <c r="G310" i="5"/>
  <c r="E304" i="2" s="1"/>
  <c r="E304" i="4"/>
  <c r="G309" i="5"/>
  <c r="E303" i="2" s="1"/>
  <c r="E303" i="4"/>
  <c r="G308" i="5"/>
  <c r="E302" i="2" s="1"/>
  <c r="E302" i="4"/>
  <c r="G307" i="5"/>
  <c r="E301" i="2" s="1"/>
  <c r="E301" i="4"/>
  <c r="G306" i="5"/>
  <c r="E300" i="2" s="1"/>
  <c r="E300" i="4"/>
  <c r="G305" i="5"/>
  <c r="E299" i="2" s="1"/>
  <c r="E299" i="4"/>
  <c r="K296" i="2"/>
  <c r="G304" i="5"/>
  <c r="E298" i="2" s="1"/>
  <c r="E298" i="4"/>
  <c r="G303" i="5"/>
  <c r="E297" i="2" s="1"/>
  <c r="E297" i="4"/>
  <c r="G302" i="5"/>
  <c r="E296" i="2" s="1"/>
  <c r="E296" i="4"/>
  <c r="G301" i="5"/>
  <c r="E295" i="2" s="1"/>
  <c r="E295" i="4"/>
  <c r="G300" i="5"/>
  <c r="E294" i="2" s="1"/>
  <c r="E294" i="4"/>
  <c r="G299" i="5"/>
  <c r="E293" i="2" s="1"/>
  <c r="F293" i="2" s="1"/>
  <c r="E293" i="4"/>
  <c r="G298" i="5"/>
  <c r="E292" i="2" s="1"/>
  <c r="E292" i="4"/>
  <c r="G297" i="5"/>
  <c r="E291" i="2" s="1"/>
  <c r="E291" i="4"/>
  <c r="G296" i="5"/>
  <c r="E290" i="2" s="1"/>
  <c r="E290" i="4"/>
  <c r="N57" i="27"/>
  <c r="M57" i="27"/>
  <c r="L57" i="27"/>
  <c r="K57" i="27"/>
  <c r="J57" i="27"/>
  <c r="I57" i="27"/>
  <c r="H57" i="27"/>
  <c r="G57" i="27"/>
  <c r="O55" i="27"/>
  <c r="A55" i="27"/>
  <c r="Q55" i="27" s="1"/>
  <c r="O54" i="27"/>
  <c r="A54" i="27"/>
  <c r="Q54" i="27" s="1"/>
  <c r="Q53" i="27"/>
  <c r="O53" i="27"/>
  <c r="P53" i="27" s="1"/>
  <c r="A53" i="27"/>
  <c r="O52" i="27"/>
  <c r="P52" i="27" s="1"/>
  <c r="A52" i="27"/>
  <c r="Q52" i="27" s="1"/>
  <c r="O51" i="27"/>
  <c r="P51" i="27" s="1"/>
  <c r="A51" i="27"/>
  <c r="Q51" i="27" s="1"/>
  <c r="O50" i="27"/>
  <c r="P50" i="27" s="1"/>
  <c r="A50" i="27"/>
  <c r="Q50" i="27" s="1"/>
  <c r="O49" i="27"/>
  <c r="A49" i="27"/>
  <c r="Q49" i="27" s="1"/>
  <c r="Q48" i="27"/>
  <c r="O48" i="27"/>
  <c r="P48" i="27" s="1"/>
  <c r="A48" i="27"/>
  <c r="O47" i="27"/>
  <c r="A47" i="27"/>
  <c r="Q47" i="27" s="1"/>
  <c r="O46" i="27"/>
  <c r="A46" i="27"/>
  <c r="Q46" i="27" s="1"/>
  <c r="Q45" i="27"/>
  <c r="O45" i="27"/>
  <c r="A45" i="27"/>
  <c r="O44" i="27"/>
  <c r="A44" i="27"/>
  <c r="Q44" i="27" s="1"/>
  <c r="O43" i="27"/>
  <c r="P43" i="27" s="1"/>
  <c r="A43" i="27"/>
  <c r="Q43" i="27" s="1"/>
  <c r="O42" i="27"/>
  <c r="A42" i="27"/>
  <c r="Q42" i="27" s="1"/>
  <c r="O41" i="27"/>
  <c r="A41" i="27"/>
  <c r="Q41" i="27" s="1"/>
  <c r="Q40" i="27"/>
  <c r="O40" i="27"/>
  <c r="P40" i="27" s="1"/>
  <c r="A40" i="27"/>
  <c r="O39" i="27"/>
  <c r="A39" i="27"/>
  <c r="Q39" i="27" s="1"/>
  <c r="O38" i="27"/>
  <c r="A38" i="27"/>
  <c r="Q38" i="27" s="1"/>
  <c r="Q37" i="27"/>
  <c r="O37" i="27"/>
  <c r="A37" i="27"/>
  <c r="O36" i="27"/>
  <c r="P36" i="27" s="1"/>
  <c r="A36" i="27"/>
  <c r="Q36" i="27" s="1"/>
  <c r="O35" i="27"/>
  <c r="P35" i="27" s="1"/>
  <c r="A35" i="27"/>
  <c r="Q35" i="27" s="1"/>
  <c r="O34" i="27"/>
  <c r="A34" i="27"/>
  <c r="Q34" i="27" s="1"/>
  <c r="O33" i="27"/>
  <c r="A33" i="27"/>
  <c r="Q33" i="27" s="1"/>
  <c r="Q32" i="27"/>
  <c r="O32" i="27"/>
  <c r="P32" i="27" s="1"/>
  <c r="A32" i="27"/>
  <c r="O31" i="27"/>
  <c r="A31" i="27"/>
  <c r="Q31" i="27" s="1"/>
  <c r="O30" i="27"/>
  <c r="A30" i="27"/>
  <c r="Q30" i="27" s="1"/>
  <c r="Q29" i="27"/>
  <c r="O29" i="27"/>
  <c r="A29" i="27"/>
  <c r="O28" i="27"/>
  <c r="P28" i="27" s="1"/>
  <c r="A28" i="27"/>
  <c r="Q28" i="27" s="1"/>
  <c r="O27" i="27"/>
  <c r="P27" i="27" s="1"/>
  <c r="A27" i="27"/>
  <c r="Q27" i="27" s="1"/>
  <c r="O26" i="27"/>
  <c r="A26" i="27"/>
  <c r="Q26" i="27" s="1"/>
  <c r="O25" i="27"/>
  <c r="A25" i="27"/>
  <c r="Q25" i="27" s="1"/>
  <c r="Q24" i="27"/>
  <c r="O24" i="27"/>
  <c r="P24" i="27" s="1"/>
  <c r="A24" i="27"/>
  <c r="O23" i="27"/>
  <c r="A23" i="27"/>
  <c r="Q23" i="27" s="1"/>
  <c r="O22" i="27"/>
  <c r="A22" i="27"/>
  <c r="Q22" i="27" s="1"/>
  <c r="Q21" i="27"/>
  <c r="O21" i="27"/>
  <c r="A21" i="27"/>
  <c r="O20" i="27"/>
  <c r="P20" i="27" s="1"/>
  <c r="A20" i="27"/>
  <c r="Q20" i="27" s="1"/>
  <c r="Q19" i="27"/>
  <c r="O19" i="27"/>
  <c r="P19" i="27" s="1"/>
  <c r="A19" i="27"/>
  <c r="O18" i="27"/>
  <c r="A18" i="27"/>
  <c r="Q18" i="27" s="1"/>
  <c r="O17" i="27"/>
  <c r="A17" i="27"/>
  <c r="Q17" i="27" s="1"/>
  <c r="Q16" i="27"/>
  <c r="O16" i="27"/>
  <c r="A16" i="27"/>
  <c r="N15" i="27"/>
  <c r="I7" i="27"/>
  <c r="E7" i="27"/>
  <c r="I5" i="27"/>
  <c r="B5" i="27"/>
  <c r="D3" i="27"/>
  <c r="G295" i="5"/>
  <c r="E289" i="2" s="1"/>
  <c r="E289" i="4"/>
  <c r="G294" i="5"/>
  <c r="E288" i="2" s="1"/>
  <c r="E288" i="4"/>
  <c r="G293" i="5"/>
  <c r="E287" i="2" s="1"/>
  <c r="H287" i="4"/>
  <c r="E287" i="4"/>
  <c r="R22" i="27" l="1"/>
  <c r="R39" i="27"/>
  <c r="R17" i="27"/>
  <c r="R47" i="27"/>
  <c r="R26" i="27"/>
  <c r="R33" i="27"/>
  <c r="R37" i="27"/>
  <c r="R44" i="27"/>
  <c r="R41" i="27"/>
  <c r="R45" i="27"/>
  <c r="R21" i="27"/>
  <c r="R29" i="27"/>
  <c r="R35" i="27"/>
  <c r="R51" i="27"/>
  <c r="R27" i="27"/>
  <c r="R16" i="27"/>
  <c r="R19" i="27"/>
  <c r="P44" i="27"/>
  <c r="P37" i="27"/>
  <c r="R40" i="27"/>
  <c r="R32" i="27"/>
  <c r="R53" i="27"/>
  <c r="P29" i="27"/>
  <c r="O57" i="27"/>
  <c r="O62" i="27" s="1"/>
  <c r="R43" i="27"/>
  <c r="P45" i="27"/>
  <c r="R48" i="27"/>
  <c r="P16" i="27"/>
  <c r="P21" i="27"/>
  <c r="R24" i="27"/>
  <c r="R50" i="27"/>
  <c r="R18" i="27"/>
  <c r="R23" i="27"/>
  <c r="R38" i="27"/>
  <c r="R36" i="27"/>
  <c r="R42" i="27"/>
  <c r="R30" i="27"/>
  <c r="R54" i="27"/>
  <c r="R20" i="27"/>
  <c r="R28" i="27"/>
  <c r="R34" i="27"/>
  <c r="R49" i="27"/>
  <c r="R52" i="27"/>
  <c r="R25" i="27"/>
  <c r="R31" i="27"/>
  <c r="R46" i="27"/>
  <c r="R55" i="27"/>
  <c r="P26" i="27"/>
  <c r="P34" i="27"/>
  <c r="P42" i="27"/>
  <c r="P23" i="27"/>
  <c r="P31" i="27"/>
  <c r="P39" i="27"/>
  <c r="P47" i="27"/>
  <c r="P55" i="27"/>
  <c r="P18" i="27"/>
  <c r="P17" i="27"/>
  <c r="P25" i="27"/>
  <c r="P33" i="27"/>
  <c r="P41" i="27"/>
  <c r="P49" i="27"/>
  <c r="P22" i="27"/>
  <c r="P30" i="27"/>
  <c r="P38" i="27"/>
  <c r="P46" i="27"/>
  <c r="P54" i="27"/>
  <c r="K283" i="2"/>
  <c r="O35" i="9" l="1"/>
  <c r="P57" i="27"/>
  <c r="P62" i="27" s="1"/>
  <c r="G292" i="5"/>
  <c r="E286" i="2" s="1"/>
  <c r="E286" i="4"/>
  <c r="G291" i="5"/>
  <c r="E285" i="2" s="1"/>
  <c r="E285" i="4"/>
  <c r="G290" i="5"/>
  <c r="E284" i="2" s="1"/>
  <c r="E284" i="4"/>
  <c r="G289" i="5"/>
  <c r="E283" i="2" s="1"/>
  <c r="E283" i="4"/>
  <c r="G288" i="5" l="1"/>
  <c r="E282" i="2" s="1"/>
  <c r="E282" i="4"/>
  <c r="G287" i="5" l="1"/>
  <c r="E281" i="2" s="1"/>
  <c r="E281" i="4"/>
  <c r="G286" i="5" l="1"/>
  <c r="E280" i="2" s="1"/>
  <c r="E280" i="4"/>
  <c r="G285" i="5" l="1"/>
  <c r="E279" i="2" s="1"/>
  <c r="G284" i="5"/>
  <c r="G283" i="5"/>
  <c r="E279" i="4"/>
  <c r="E278" i="2" l="1"/>
  <c r="G282" i="5"/>
  <c r="G281" i="5"/>
  <c r="E278" i="4"/>
  <c r="E277" i="2" l="1"/>
  <c r="F277" i="2" s="1"/>
  <c r="E276" i="2"/>
  <c r="E275" i="2"/>
  <c r="G280" i="5"/>
  <c r="E277" i="4"/>
  <c r="D17" i="18" l="1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16" i="18"/>
  <c r="F276" i="2" l="1"/>
  <c r="H276" i="4"/>
  <c r="G258" i="10" s="1"/>
  <c r="E276" i="4"/>
  <c r="Q29" i="21" l="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16" i="21"/>
  <c r="O18" i="21" l="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R32" i="21" s="1"/>
  <c r="O33" i="21"/>
  <c r="R33" i="21" s="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R48" i="21" s="1"/>
  <c r="O49" i="21"/>
  <c r="R49" i="21" s="1"/>
  <c r="O50" i="21"/>
  <c r="O51" i="21"/>
  <c r="O52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Q21" i="7"/>
  <c r="U21" i="7"/>
  <c r="Q22" i="7"/>
  <c r="U22" i="7"/>
  <c r="Q23" i="7"/>
  <c r="U23" i="7"/>
  <c r="Q24" i="7"/>
  <c r="U24" i="7"/>
  <c r="Q25" i="7"/>
  <c r="U25" i="7"/>
  <c r="Q26" i="7"/>
  <c r="U26" i="7"/>
  <c r="Q27" i="7"/>
  <c r="U27" i="7"/>
  <c r="Q28" i="7"/>
  <c r="U28" i="7"/>
  <c r="Q29" i="7"/>
  <c r="U29" i="7"/>
  <c r="Q30" i="7"/>
  <c r="U30" i="7"/>
  <c r="Q31" i="7"/>
  <c r="U31" i="7"/>
  <c r="Q32" i="7"/>
  <c r="U32" i="7"/>
  <c r="Q33" i="7"/>
  <c r="U33" i="7"/>
  <c r="Q34" i="7"/>
  <c r="U34" i="7"/>
  <c r="Q35" i="7"/>
  <c r="U35" i="7"/>
  <c r="Q36" i="7"/>
  <c r="U36" i="7"/>
  <c r="Q37" i="7"/>
  <c r="U37" i="7"/>
  <c r="Q38" i="7"/>
  <c r="U38" i="7"/>
  <c r="Q39" i="7"/>
  <c r="U39" i="7"/>
  <c r="Q40" i="7"/>
  <c r="U40" i="7"/>
  <c r="Q41" i="7"/>
  <c r="U41" i="7"/>
  <c r="Q42" i="7"/>
  <c r="U42" i="7"/>
  <c r="Q43" i="7"/>
  <c r="U43" i="7"/>
  <c r="Q44" i="7"/>
  <c r="U44" i="7"/>
  <c r="Q45" i="7"/>
  <c r="U45" i="7"/>
  <c r="Q46" i="7"/>
  <c r="U46" i="7"/>
  <c r="Q47" i="7"/>
  <c r="U47" i="7"/>
  <c r="Q48" i="7"/>
  <c r="U48" i="7"/>
  <c r="Q49" i="7"/>
  <c r="U49" i="7"/>
  <c r="Q50" i="7"/>
  <c r="U50" i="7"/>
  <c r="Q51" i="7"/>
  <c r="U51" i="7"/>
  <c r="Q52" i="7"/>
  <c r="U52" i="7"/>
  <c r="Q53" i="7"/>
  <c r="U53" i="7"/>
  <c r="Q54" i="7"/>
  <c r="U54" i="7"/>
  <c r="Q55" i="7"/>
  <c r="U55" i="7"/>
  <c r="Q56" i="7"/>
  <c r="U56" i="7"/>
  <c r="A19" i="7"/>
  <c r="AB19" i="7" s="1"/>
  <c r="AC19" i="7" s="1"/>
  <c r="A20" i="7"/>
  <c r="AB20" i="7" s="1"/>
  <c r="AC20" i="7" s="1"/>
  <c r="A21" i="7"/>
  <c r="AB21" i="7" s="1"/>
  <c r="AC21" i="7" s="1"/>
  <c r="A22" i="7"/>
  <c r="AB22" i="7" s="1"/>
  <c r="AC22" i="7" s="1"/>
  <c r="A23" i="7"/>
  <c r="AB23" i="7" s="1"/>
  <c r="AC23" i="7" s="1"/>
  <c r="A24" i="7"/>
  <c r="AB24" i="7" s="1"/>
  <c r="AC24" i="7" s="1"/>
  <c r="A25" i="7"/>
  <c r="AB25" i="7" s="1"/>
  <c r="AC25" i="7" s="1"/>
  <c r="A26" i="7"/>
  <c r="AB26" i="7" s="1"/>
  <c r="AC26" i="7" s="1"/>
  <c r="A27" i="7"/>
  <c r="AB27" i="7" s="1"/>
  <c r="AC27" i="7" s="1"/>
  <c r="A28" i="7"/>
  <c r="AB28" i="7" s="1"/>
  <c r="AC28" i="7" s="1"/>
  <c r="A29" i="7"/>
  <c r="AB29" i="7" s="1"/>
  <c r="AC29" i="7" s="1"/>
  <c r="A30" i="7"/>
  <c r="AB30" i="7" s="1"/>
  <c r="AC30" i="7" s="1"/>
  <c r="A31" i="7"/>
  <c r="AB31" i="7" s="1"/>
  <c r="AC31" i="7" s="1"/>
  <c r="A32" i="7"/>
  <c r="AB32" i="7" s="1"/>
  <c r="AC32" i="7" s="1"/>
  <c r="A33" i="7"/>
  <c r="AB33" i="7" s="1"/>
  <c r="AC33" i="7" s="1"/>
  <c r="A34" i="7"/>
  <c r="AB34" i="7" s="1"/>
  <c r="AC34" i="7" s="1"/>
  <c r="A35" i="7"/>
  <c r="AB35" i="7" s="1"/>
  <c r="AC35" i="7" s="1"/>
  <c r="A36" i="7"/>
  <c r="AB36" i="7" s="1"/>
  <c r="AC36" i="7" s="1"/>
  <c r="A37" i="7"/>
  <c r="AB37" i="7" s="1"/>
  <c r="AC37" i="7" s="1"/>
  <c r="A38" i="7"/>
  <c r="AB38" i="7" s="1"/>
  <c r="AC38" i="7" s="1"/>
  <c r="A39" i="7"/>
  <c r="AB39" i="7" s="1"/>
  <c r="AC39" i="7" s="1"/>
  <c r="A40" i="7"/>
  <c r="AB40" i="7" s="1"/>
  <c r="AC40" i="7" s="1"/>
  <c r="A41" i="7"/>
  <c r="AB41" i="7" s="1"/>
  <c r="AC41" i="7" s="1"/>
  <c r="A42" i="7"/>
  <c r="AB42" i="7" s="1"/>
  <c r="AC42" i="7" s="1"/>
  <c r="A43" i="7"/>
  <c r="AB43" i="7" s="1"/>
  <c r="AC43" i="7" s="1"/>
  <c r="A44" i="7"/>
  <c r="AB44" i="7" s="1"/>
  <c r="AC44" i="7" s="1"/>
  <c r="A45" i="7"/>
  <c r="AB45" i="7" s="1"/>
  <c r="AC45" i="7" s="1"/>
  <c r="A46" i="7"/>
  <c r="AB46" i="7" s="1"/>
  <c r="AC46" i="7" s="1"/>
  <c r="A47" i="7"/>
  <c r="AB47" i="7" s="1"/>
  <c r="AC47" i="7" s="1"/>
  <c r="A48" i="7"/>
  <c r="AB48" i="7" s="1"/>
  <c r="AC48" i="7" s="1"/>
  <c r="A49" i="7"/>
  <c r="AB49" i="7" s="1"/>
  <c r="AC49" i="7" s="1"/>
  <c r="A50" i="7"/>
  <c r="AB50" i="7" s="1"/>
  <c r="AC50" i="7" s="1"/>
  <c r="A51" i="7"/>
  <c r="AB51" i="7" s="1"/>
  <c r="AC51" i="7" s="1"/>
  <c r="A52" i="7"/>
  <c r="AB52" i="7" s="1"/>
  <c r="AC52" i="7" s="1"/>
  <c r="A53" i="7"/>
  <c r="AB53" i="7" s="1"/>
  <c r="AC53" i="7" s="1"/>
  <c r="A54" i="7"/>
  <c r="AB54" i="7" s="1"/>
  <c r="AC54" i="7" s="1"/>
  <c r="A55" i="7"/>
  <c r="AB55" i="7" s="1"/>
  <c r="AC55" i="7" s="1"/>
  <c r="G27" i="5"/>
  <c r="E21" i="2" s="1"/>
  <c r="F21" i="2" s="1"/>
  <c r="G28" i="5"/>
  <c r="E22" i="2" s="1"/>
  <c r="F22" i="2" s="1"/>
  <c r="G29" i="5"/>
  <c r="E23" i="2" s="1"/>
  <c r="F23" i="2" s="1"/>
  <c r="G30" i="5"/>
  <c r="E24" i="2" s="1"/>
  <c r="F24" i="2" s="1"/>
  <c r="G31" i="5"/>
  <c r="E25" i="2" s="1"/>
  <c r="F25" i="2" s="1"/>
  <c r="G32" i="5"/>
  <c r="E26" i="2" s="1"/>
  <c r="F26" i="2" s="1"/>
  <c r="G33" i="5"/>
  <c r="E27" i="2" s="1"/>
  <c r="F27" i="2" s="1"/>
  <c r="G34" i="5"/>
  <c r="E28" i="2" s="1"/>
  <c r="F28" i="2" s="1"/>
  <c r="G35" i="5"/>
  <c r="E29" i="2" s="1"/>
  <c r="F29" i="2" s="1"/>
  <c r="G36" i="5"/>
  <c r="E30" i="2" s="1"/>
  <c r="F30" i="2" s="1"/>
  <c r="G37" i="5"/>
  <c r="E31" i="2" s="1"/>
  <c r="F31" i="2" s="1"/>
  <c r="G38" i="5"/>
  <c r="E32" i="2" s="1"/>
  <c r="F32" i="2" s="1"/>
  <c r="G39" i="5"/>
  <c r="E33" i="2" s="1"/>
  <c r="F33" i="2" s="1"/>
  <c r="G40" i="5"/>
  <c r="E34" i="2" s="1"/>
  <c r="F34" i="2" s="1"/>
  <c r="G41" i="5"/>
  <c r="E35" i="2" s="1"/>
  <c r="F35" i="2" s="1"/>
  <c r="G42" i="5"/>
  <c r="E36" i="2" s="1"/>
  <c r="F36" i="2" s="1"/>
  <c r="G43" i="5"/>
  <c r="E37" i="2" s="1"/>
  <c r="F37" i="2" s="1"/>
  <c r="G44" i="5"/>
  <c r="E38" i="2" s="1"/>
  <c r="F38" i="2" s="1"/>
  <c r="G45" i="5"/>
  <c r="E39" i="2" s="1"/>
  <c r="F39" i="2" s="1"/>
  <c r="G46" i="5"/>
  <c r="E40" i="2" s="1"/>
  <c r="F40" i="2" s="1"/>
  <c r="G47" i="5"/>
  <c r="E41" i="2" s="1"/>
  <c r="F41" i="2" s="1"/>
  <c r="G48" i="5"/>
  <c r="E42" i="2" s="1"/>
  <c r="F42" i="2" s="1"/>
  <c r="G49" i="5"/>
  <c r="E43" i="2" s="1"/>
  <c r="F43" i="2" s="1"/>
  <c r="G50" i="5"/>
  <c r="E44" i="2" s="1"/>
  <c r="F44" i="2" s="1"/>
  <c r="G51" i="5"/>
  <c r="E45" i="2" s="1"/>
  <c r="F45" i="2" s="1"/>
  <c r="G52" i="5"/>
  <c r="E46" i="2" s="1"/>
  <c r="F46" i="2" s="1"/>
  <c r="G53" i="5"/>
  <c r="E47" i="2" s="1"/>
  <c r="F47" i="2" s="1"/>
  <c r="G54" i="5"/>
  <c r="E48" i="2" s="1"/>
  <c r="F48" i="2" s="1"/>
  <c r="G55" i="5"/>
  <c r="E49" i="2" s="1"/>
  <c r="F49" i="2" s="1"/>
  <c r="G56" i="5"/>
  <c r="E50" i="2" s="1"/>
  <c r="F50" i="2" s="1"/>
  <c r="G57" i="5"/>
  <c r="E51" i="2" s="1"/>
  <c r="F51" i="2" s="1"/>
  <c r="G58" i="5"/>
  <c r="E52" i="2" s="1"/>
  <c r="F52" i="2" s="1"/>
  <c r="G59" i="5"/>
  <c r="E53" i="2" s="1"/>
  <c r="F53" i="2" s="1"/>
  <c r="G60" i="5"/>
  <c r="E54" i="2" s="1"/>
  <c r="F54" i="2" s="1"/>
  <c r="G61" i="5"/>
  <c r="E55" i="2" s="1"/>
  <c r="F55" i="2" s="1"/>
  <c r="G62" i="5"/>
  <c r="E56" i="2" s="1"/>
  <c r="F56" i="2" s="1"/>
  <c r="G63" i="5"/>
  <c r="E57" i="2" s="1"/>
  <c r="F57" i="2" s="1"/>
  <c r="G64" i="5"/>
  <c r="E58" i="2" s="1"/>
  <c r="F58" i="2" s="1"/>
  <c r="G65" i="5"/>
  <c r="E59" i="2" s="1"/>
  <c r="F59" i="2" s="1"/>
  <c r="G66" i="5"/>
  <c r="E60" i="2" s="1"/>
  <c r="F60" i="2" s="1"/>
  <c r="G67" i="5"/>
  <c r="E61" i="2" s="1"/>
  <c r="F61" i="2" s="1"/>
  <c r="G68" i="5"/>
  <c r="E62" i="2" s="1"/>
  <c r="F62" i="2" s="1"/>
  <c r="G69" i="5"/>
  <c r="E63" i="2" s="1"/>
  <c r="F63" i="2" s="1"/>
  <c r="G70" i="5"/>
  <c r="E64" i="2" s="1"/>
  <c r="F64" i="2" s="1"/>
  <c r="G71" i="5"/>
  <c r="E65" i="2" s="1"/>
  <c r="F65" i="2" s="1"/>
  <c r="G72" i="5"/>
  <c r="E66" i="2" s="1"/>
  <c r="F66" i="2" s="1"/>
  <c r="G73" i="5"/>
  <c r="E67" i="2" s="1"/>
  <c r="F67" i="2" s="1"/>
  <c r="G74" i="5"/>
  <c r="E68" i="2" s="1"/>
  <c r="F68" i="2" s="1"/>
  <c r="G75" i="5"/>
  <c r="E69" i="2" s="1"/>
  <c r="F69" i="2" s="1"/>
  <c r="G76" i="5"/>
  <c r="E70" i="2" s="1"/>
  <c r="F70" i="2" s="1"/>
  <c r="G77" i="5"/>
  <c r="E71" i="2" s="1"/>
  <c r="F71" i="2" s="1"/>
  <c r="G78" i="5"/>
  <c r="E72" i="2" s="1"/>
  <c r="F72" i="2" s="1"/>
  <c r="G79" i="5"/>
  <c r="E73" i="2" s="1"/>
  <c r="F73" i="2" s="1"/>
  <c r="G80" i="5"/>
  <c r="E74" i="2" s="1"/>
  <c r="F74" i="2" s="1"/>
  <c r="G81" i="5"/>
  <c r="E75" i="2" s="1"/>
  <c r="F75" i="2" s="1"/>
  <c r="G82" i="5"/>
  <c r="E76" i="2" s="1"/>
  <c r="F76" i="2" s="1"/>
  <c r="G83" i="5"/>
  <c r="E77" i="2" s="1"/>
  <c r="F77" i="2" s="1"/>
  <c r="G84" i="5"/>
  <c r="E78" i="2" s="1"/>
  <c r="F78" i="2" s="1"/>
  <c r="G85" i="5"/>
  <c r="E79" i="2" s="1"/>
  <c r="F79" i="2" s="1"/>
  <c r="G86" i="5"/>
  <c r="E80" i="2" s="1"/>
  <c r="F80" i="2" s="1"/>
  <c r="G87" i="5"/>
  <c r="E81" i="2" s="1"/>
  <c r="F81" i="2" s="1"/>
  <c r="G88" i="5"/>
  <c r="E82" i="2" s="1"/>
  <c r="F82" i="2" s="1"/>
  <c r="G89" i="5"/>
  <c r="E83" i="2" s="1"/>
  <c r="F83" i="2" s="1"/>
  <c r="G90" i="5"/>
  <c r="E84" i="2" s="1"/>
  <c r="F84" i="2" s="1"/>
  <c r="G91" i="5"/>
  <c r="E85" i="2" s="1"/>
  <c r="F85" i="2" s="1"/>
  <c r="G92" i="5"/>
  <c r="E86" i="2" s="1"/>
  <c r="F86" i="2" s="1"/>
  <c r="G93" i="5"/>
  <c r="E87" i="2" s="1"/>
  <c r="F87" i="2" s="1"/>
  <c r="G94" i="5"/>
  <c r="E88" i="2" s="1"/>
  <c r="F88" i="2" s="1"/>
  <c r="G95" i="5"/>
  <c r="E89" i="2" s="1"/>
  <c r="F89" i="2" s="1"/>
  <c r="G96" i="5"/>
  <c r="E90" i="2" s="1"/>
  <c r="F90" i="2" s="1"/>
  <c r="G97" i="5"/>
  <c r="E91" i="2" s="1"/>
  <c r="F91" i="2" s="1"/>
  <c r="G98" i="5"/>
  <c r="E92" i="2" s="1"/>
  <c r="F92" i="2" s="1"/>
  <c r="G99" i="5"/>
  <c r="E93" i="2" s="1"/>
  <c r="F93" i="2" s="1"/>
  <c r="G100" i="5"/>
  <c r="E94" i="2" s="1"/>
  <c r="F94" i="2" s="1"/>
  <c r="G101" i="5"/>
  <c r="E95" i="2" s="1"/>
  <c r="F95" i="2" s="1"/>
  <c r="G102" i="5"/>
  <c r="E96" i="2" s="1"/>
  <c r="F96" i="2" s="1"/>
  <c r="G103" i="5"/>
  <c r="E97" i="2" s="1"/>
  <c r="F97" i="2" s="1"/>
  <c r="G104" i="5"/>
  <c r="E98" i="2" s="1"/>
  <c r="F98" i="2" s="1"/>
  <c r="G105" i="5"/>
  <c r="E99" i="2" s="1"/>
  <c r="F99" i="2" s="1"/>
  <c r="G106" i="5"/>
  <c r="E100" i="2" s="1"/>
  <c r="F100" i="2" s="1"/>
  <c r="G107" i="5"/>
  <c r="E101" i="2" s="1"/>
  <c r="F101" i="2" s="1"/>
  <c r="G108" i="5"/>
  <c r="E102" i="2" s="1"/>
  <c r="F102" i="2" s="1"/>
  <c r="G109" i="5"/>
  <c r="E103" i="2" s="1"/>
  <c r="F103" i="2" s="1"/>
  <c r="G110" i="5"/>
  <c r="E104" i="2" s="1"/>
  <c r="F104" i="2" s="1"/>
  <c r="G111" i="5"/>
  <c r="E105" i="2" s="1"/>
  <c r="F105" i="2" s="1"/>
  <c r="G112" i="5"/>
  <c r="E106" i="2" s="1"/>
  <c r="F106" i="2" s="1"/>
  <c r="G113" i="5"/>
  <c r="E107" i="2" s="1"/>
  <c r="F107" i="2" s="1"/>
  <c r="G114" i="5"/>
  <c r="E108" i="2" s="1"/>
  <c r="F108" i="2" s="1"/>
  <c r="G115" i="5"/>
  <c r="E109" i="2" s="1"/>
  <c r="F109" i="2" s="1"/>
  <c r="G116" i="5"/>
  <c r="E110" i="2" s="1"/>
  <c r="F110" i="2" s="1"/>
  <c r="G117" i="5"/>
  <c r="E111" i="2" s="1"/>
  <c r="F111" i="2" s="1"/>
  <c r="G118" i="5"/>
  <c r="E112" i="2" s="1"/>
  <c r="F112" i="2" s="1"/>
  <c r="G119" i="5"/>
  <c r="E113" i="2" s="1"/>
  <c r="F113" i="2" s="1"/>
  <c r="G120" i="5"/>
  <c r="E114" i="2" s="1"/>
  <c r="F114" i="2" s="1"/>
  <c r="G121" i="5"/>
  <c r="E115" i="2" s="1"/>
  <c r="F115" i="2" s="1"/>
  <c r="G122" i="5"/>
  <c r="E116" i="2" s="1"/>
  <c r="F116" i="2" s="1"/>
  <c r="G123" i="5"/>
  <c r="E117" i="2" s="1"/>
  <c r="F117" i="2" s="1"/>
  <c r="G124" i="5"/>
  <c r="E118" i="2" s="1"/>
  <c r="F118" i="2" s="1"/>
  <c r="G125" i="5"/>
  <c r="E119" i="2" s="1"/>
  <c r="F119" i="2" s="1"/>
  <c r="G126" i="5"/>
  <c r="E120" i="2" s="1"/>
  <c r="F120" i="2" s="1"/>
  <c r="G127" i="5"/>
  <c r="E121" i="2" s="1"/>
  <c r="F121" i="2" s="1"/>
  <c r="H42" i="4"/>
  <c r="G24" i="10" s="1"/>
  <c r="H43" i="4"/>
  <c r="G25" i="10" s="1"/>
  <c r="H44" i="4"/>
  <c r="G26" i="10" s="1"/>
  <c r="H45" i="4"/>
  <c r="G27" i="10" s="1"/>
  <c r="H46" i="4"/>
  <c r="G28" i="10" s="1"/>
  <c r="H47" i="4"/>
  <c r="G29" i="10" s="1"/>
  <c r="H48" i="4"/>
  <c r="G30" i="10" s="1"/>
  <c r="H49" i="4"/>
  <c r="G31" i="10" s="1"/>
  <c r="H50" i="4"/>
  <c r="G32" i="10" s="1"/>
  <c r="H51" i="4"/>
  <c r="G33" i="10" s="1"/>
  <c r="H52" i="4"/>
  <c r="G34" i="10" s="1"/>
  <c r="H53" i="4"/>
  <c r="G35" i="10" s="1"/>
  <c r="H54" i="4"/>
  <c r="G36" i="10" s="1"/>
  <c r="H55" i="4"/>
  <c r="G37" i="10" s="1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G20" i="10" s="1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8" i="4"/>
  <c r="E49" i="4"/>
  <c r="E50" i="4"/>
  <c r="A18" i="4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A55" i="7" l="1"/>
  <c r="AA54" i="7"/>
  <c r="Z46" i="7"/>
  <c r="AA46" i="7"/>
  <c r="Z38" i="7"/>
  <c r="AA38" i="7"/>
  <c r="Z30" i="7"/>
  <c r="AA30" i="7"/>
  <c r="Z22" i="7"/>
  <c r="AA22" i="7"/>
  <c r="Z48" i="7"/>
  <c r="AA48" i="7"/>
  <c r="Z23" i="7"/>
  <c r="AA23" i="7"/>
  <c r="AA53" i="7"/>
  <c r="Z45" i="7"/>
  <c r="AA45" i="7"/>
  <c r="Z37" i="7"/>
  <c r="AA37" i="7"/>
  <c r="Z29" i="7"/>
  <c r="AA29" i="7"/>
  <c r="Z21" i="7"/>
  <c r="AA21" i="7"/>
  <c r="Z24" i="7"/>
  <c r="AA24" i="7"/>
  <c r="Z31" i="7"/>
  <c r="AA31" i="7"/>
  <c r="Z52" i="7"/>
  <c r="AA52" i="7"/>
  <c r="Z44" i="7"/>
  <c r="AA44" i="7"/>
  <c r="Z36" i="7"/>
  <c r="AA36" i="7"/>
  <c r="Z28" i="7"/>
  <c r="AA28" i="7"/>
  <c r="AA20" i="7"/>
  <c r="Z51" i="7"/>
  <c r="AA51" i="7"/>
  <c r="Z43" i="7"/>
  <c r="AA43" i="7"/>
  <c r="Z35" i="7"/>
  <c r="AA35" i="7"/>
  <c r="Z27" i="7"/>
  <c r="AA27" i="7"/>
  <c r="AA19" i="7"/>
  <c r="Z40" i="7"/>
  <c r="AA40" i="7"/>
  <c r="Z39" i="7"/>
  <c r="AA39" i="7"/>
  <c r="Z50" i="7"/>
  <c r="AA50" i="7"/>
  <c r="Z42" i="7"/>
  <c r="AA42" i="7"/>
  <c r="Z34" i="7"/>
  <c r="AA34" i="7"/>
  <c r="Z26" i="7"/>
  <c r="AA26" i="7"/>
  <c r="Z32" i="7"/>
  <c r="AA32" i="7"/>
  <c r="Z47" i="7"/>
  <c r="AA47" i="7"/>
  <c r="Z49" i="7"/>
  <c r="AA49" i="7"/>
  <c r="Z41" i="7"/>
  <c r="AA41" i="7"/>
  <c r="Z33" i="7"/>
  <c r="AA33" i="7"/>
  <c r="Z25" i="7"/>
  <c r="AA25" i="7"/>
  <c r="X41" i="7"/>
  <c r="X53" i="7"/>
  <c r="X45" i="7"/>
  <c r="X29" i="7"/>
  <c r="X27" i="7"/>
  <c r="X24" i="7"/>
  <c r="X31" i="7"/>
  <c r="X49" i="7"/>
  <c r="X25" i="7"/>
  <c r="X48" i="7"/>
  <c r="X40" i="7"/>
  <c r="X50" i="7"/>
  <c r="X34" i="7"/>
  <c r="X47" i="7"/>
  <c r="X39" i="7"/>
  <c r="X26" i="7"/>
  <c r="X21" i="7"/>
  <c r="X23" i="7"/>
  <c r="X51" i="7"/>
  <c r="X35" i="7"/>
  <c r="P32" i="21"/>
  <c r="P52" i="21"/>
  <c r="R52" i="21"/>
  <c r="P46" i="21"/>
  <c r="R46" i="21"/>
  <c r="P38" i="21"/>
  <c r="R38" i="21"/>
  <c r="P24" i="21"/>
  <c r="R24" i="21"/>
  <c r="P51" i="21"/>
  <c r="R51" i="21"/>
  <c r="P45" i="21"/>
  <c r="R45" i="21"/>
  <c r="P37" i="21"/>
  <c r="R37" i="21"/>
  <c r="P31" i="21"/>
  <c r="R31" i="21"/>
  <c r="P23" i="21"/>
  <c r="R23" i="21"/>
  <c r="P39" i="21"/>
  <c r="R39" i="21"/>
  <c r="P50" i="21"/>
  <c r="R50" i="21"/>
  <c r="P44" i="21"/>
  <c r="R44" i="21"/>
  <c r="P36" i="21"/>
  <c r="R36" i="21"/>
  <c r="P30" i="21"/>
  <c r="R30" i="21"/>
  <c r="P22" i="21"/>
  <c r="R22" i="21"/>
  <c r="P25" i="21"/>
  <c r="R25" i="21"/>
  <c r="P49" i="21"/>
  <c r="P43" i="21"/>
  <c r="R43" i="21"/>
  <c r="P35" i="21"/>
  <c r="R35" i="21"/>
  <c r="P29" i="21"/>
  <c r="R29" i="21"/>
  <c r="P21" i="21"/>
  <c r="R21" i="21"/>
  <c r="P47" i="21"/>
  <c r="R47" i="21"/>
  <c r="P42" i="21"/>
  <c r="R42" i="21"/>
  <c r="P34" i="21"/>
  <c r="R34" i="21"/>
  <c r="P28" i="21"/>
  <c r="R28" i="21"/>
  <c r="P20" i="21"/>
  <c r="R20" i="21"/>
  <c r="P48" i="21"/>
  <c r="P41" i="21"/>
  <c r="R41" i="21"/>
  <c r="P33" i="21"/>
  <c r="P27" i="21"/>
  <c r="R27" i="21"/>
  <c r="P19" i="21"/>
  <c r="R19" i="21"/>
  <c r="P40" i="21"/>
  <c r="R40" i="21"/>
  <c r="P26" i="21"/>
  <c r="R26" i="21"/>
  <c r="P18" i="21"/>
  <c r="R18" i="21"/>
  <c r="X55" i="7"/>
  <c r="X42" i="7"/>
  <c r="X37" i="7"/>
  <c r="X32" i="7"/>
  <c r="X56" i="7"/>
  <c r="X43" i="7"/>
  <c r="X33" i="7"/>
  <c r="X52" i="7"/>
  <c r="X44" i="7"/>
  <c r="X36" i="7"/>
  <c r="X28" i="7"/>
  <c r="X30" i="7"/>
  <c r="X22" i="7"/>
  <c r="X54" i="7"/>
  <c r="X46" i="7"/>
  <c r="X38" i="7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G22" i="5" l="1"/>
  <c r="E16" i="2" s="1"/>
  <c r="G23" i="5"/>
  <c r="E17" i="2" s="1"/>
  <c r="G24" i="5"/>
  <c r="E18" i="2" s="1"/>
  <c r="F18" i="2" s="1"/>
  <c r="G25" i="5"/>
  <c r="E19" i="2" s="1"/>
  <c r="F19" i="2" s="1"/>
  <c r="D48" i="22" l="1"/>
  <c r="F27" i="22"/>
  <c r="Q18" i="24"/>
  <c r="U18" i="24"/>
  <c r="Z18" i="24"/>
  <c r="Q19" i="24"/>
  <c r="U19" i="24"/>
  <c r="Z19" i="24"/>
  <c r="Q20" i="24"/>
  <c r="U20" i="24"/>
  <c r="Z20" i="24"/>
  <c r="Q21" i="24"/>
  <c r="U21" i="24"/>
  <c r="Z21" i="24"/>
  <c r="A18" i="24"/>
  <c r="A19" i="24"/>
  <c r="A20" i="24"/>
  <c r="A21" i="24"/>
  <c r="A17" i="26"/>
  <c r="A18" i="26"/>
  <c r="A19" i="26"/>
  <c r="A20" i="26"/>
  <c r="X18" i="24" l="1"/>
  <c r="X19" i="24"/>
  <c r="X21" i="24"/>
  <c r="X20" i="24"/>
  <c r="A52" i="21" l="1"/>
  <c r="A53" i="21"/>
  <c r="A54" i="21"/>
  <c r="A55" i="21"/>
  <c r="O53" i="21"/>
  <c r="O54" i="21"/>
  <c r="O55" i="21"/>
  <c r="O17" i="21"/>
  <c r="G57" i="21"/>
  <c r="H57" i="21"/>
  <c r="I57" i="21"/>
  <c r="J57" i="21"/>
  <c r="K57" i="21"/>
  <c r="L57" i="21"/>
  <c r="M57" i="21"/>
  <c r="N57" i="21"/>
  <c r="A18" i="7"/>
  <c r="AB18" i="7" s="1"/>
  <c r="AC18" i="7" s="1"/>
  <c r="A56" i="7"/>
  <c r="AB56" i="7" s="1"/>
  <c r="AC56" i="7" s="1"/>
  <c r="U18" i="7"/>
  <c r="U19" i="7"/>
  <c r="Z19" i="7"/>
  <c r="U20" i="7"/>
  <c r="Z20" i="7"/>
  <c r="Q18" i="7"/>
  <c r="Q19" i="7"/>
  <c r="Q20" i="7"/>
  <c r="AA56" i="7" l="1"/>
  <c r="Z18" i="7"/>
  <c r="AA18" i="7"/>
  <c r="P55" i="21"/>
  <c r="R55" i="21"/>
  <c r="P54" i="21"/>
  <c r="R54" i="21"/>
  <c r="P17" i="21"/>
  <c r="R17" i="21"/>
  <c r="P53" i="21"/>
  <c r="R53" i="21"/>
  <c r="X20" i="7"/>
  <c r="X19" i="7"/>
  <c r="X18" i="7"/>
  <c r="A21" i="10"/>
  <c r="A22" i="10" s="1"/>
  <c r="A23" i="10" s="1"/>
  <c r="A24" i="10" s="1"/>
  <c r="A25" i="10" s="1"/>
  <c r="A26" i="10" s="1"/>
  <c r="A27" i="10" s="1"/>
  <c r="A28" i="10" s="1"/>
  <c r="A29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17" i="2" l="1"/>
  <c r="A18" i="2" s="1"/>
  <c r="A19" i="2" s="1"/>
  <c r="A20" i="2" s="1"/>
  <c r="A21" i="2" s="1"/>
  <c r="H23" i="26"/>
  <c r="I23" i="26"/>
  <c r="J23" i="26"/>
  <c r="K23" i="26"/>
  <c r="L23" i="26"/>
  <c r="M23" i="26"/>
  <c r="N23" i="26"/>
  <c r="G23" i="26"/>
  <c r="A17" i="24"/>
  <c r="N22" i="26"/>
  <c r="M22" i="26"/>
  <c r="L22" i="26"/>
  <c r="K22" i="26"/>
  <c r="J22" i="26"/>
  <c r="I22" i="26"/>
  <c r="H22" i="26"/>
  <c r="G22" i="26"/>
  <c r="R16" i="26"/>
  <c r="A16" i="26"/>
  <c r="N15" i="26"/>
  <c r="I7" i="26"/>
  <c r="E7" i="26"/>
  <c r="I5" i="26"/>
  <c r="B5" i="26"/>
  <c r="D3" i="26"/>
  <c r="A22" i="2" l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O17" i="26"/>
  <c r="O18" i="26"/>
  <c r="O19" i="26"/>
  <c r="O20" i="26"/>
  <c r="O16" i="26"/>
  <c r="I32" i="24"/>
  <c r="H32" i="24"/>
  <c r="Y23" i="24"/>
  <c r="T23" i="24"/>
  <c r="G29" i="22" s="1"/>
  <c r="S23" i="24"/>
  <c r="G28" i="22" s="1"/>
  <c r="P23" i="24"/>
  <c r="G23" i="22" s="1"/>
  <c r="O23" i="24"/>
  <c r="G22" i="22" s="1"/>
  <c r="J23" i="24"/>
  <c r="I23" i="24"/>
  <c r="H23" i="24"/>
  <c r="G23" i="24"/>
  <c r="Z17" i="24"/>
  <c r="U17" i="24"/>
  <c r="Q17" i="24"/>
  <c r="C16" i="24"/>
  <c r="D16" i="24" s="1"/>
  <c r="E16" i="24" s="1"/>
  <c r="F16" i="24" s="1"/>
  <c r="G16" i="24" s="1"/>
  <c r="H16" i="24" s="1"/>
  <c r="I16" i="24" s="1"/>
  <c r="J16" i="24" s="1"/>
  <c r="K16" i="24" s="1"/>
  <c r="L16" i="24" s="1"/>
  <c r="M16" i="24" s="1"/>
  <c r="N16" i="24" s="1"/>
  <c r="O16" i="24" s="1"/>
  <c r="P16" i="24" s="1"/>
  <c r="Q16" i="24" s="1"/>
  <c r="R16" i="24" s="1"/>
  <c r="S16" i="24" s="1"/>
  <c r="T16" i="24" s="1"/>
  <c r="U16" i="24" s="1"/>
  <c r="V16" i="24" s="1"/>
  <c r="W16" i="24" s="1"/>
  <c r="X16" i="24" s="1"/>
  <c r="Y16" i="24" s="1"/>
  <c r="Z16" i="24" s="1"/>
  <c r="D11" i="22"/>
  <c r="E48" i="22" s="1"/>
  <c r="G16" i="18" a="1"/>
  <c r="G16" i="18" s="1"/>
  <c r="K18" i="18" s="1"/>
  <c r="G21" i="22" l="1"/>
  <c r="G27" i="22"/>
  <c r="P18" i="26"/>
  <c r="F19" i="24"/>
  <c r="P17" i="26"/>
  <c r="F18" i="24"/>
  <c r="P19" i="26"/>
  <c r="F20" i="24"/>
  <c r="P20" i="26"/>
  <c r="F21" i="24"/>
  <c r="O22" i="26"/>
  <c r="P16" i="26"/>
  <c r="F17" i="24"/>
  <c r="Z23" i="24"/>
  <c r="Q23" i="24"/>
  <c r="U23" i="24"/>
  <c r="X17" i="24"/>
  <c r="K20" i="24" l="1"/>
  <c r="M20" i="24"/>
  <c r="K19" i="24"/>
  <c r="M19" i="24"/>
  <c r="K21" i="24"/>
  <c r="M21" i="24"/>
  <c r="K18" i="24"/>
  <c r="M18" i="24"/>
  <c r="K17" i="24"/>
  <c r="R17" i="24" s="1"/>
  <c r="G14" i="22"/>
  <c r="P22" i="26"/>
  <c r="M17" i="24"/>
  <c r="X23" i="24"/>
  <c r="N17" i="24" l="1"/>
  <c r="W17" i="24" s="1"/>
  <c r="V17" i="24"/>
  <c r="N21" i="24"/>
  <c r="W21" i="24" s="1"/>
  <c r="V21" i="24"/>
  <c r="R21" i="24"/>
  <c r="N20" i="24"/>
  <c r="W20" i="24" s="1"/>
  <c r="V20" i="24"/>
  <c r="R20" i="24"/>
  <c r="N18" i="24"/>
  <c r="W18" i="24" s="1"/>
  <c r="V18" i="24"/>
  <c r="R18" i="24"/>
  <c r="N19" i="24"/>
  <c r="W19" i="24" s="1"/>
  <c r="R19" i="24"/>
  <c r="V19" i="24"/>
  <c r="F23" i="24"/>
  <c r="G16" i="22" s="1"/>
  <c r="K23" i="24" l="1"/>
  <c r="G17" i="22" s="1"/>
  <c r="M23" i="24"/>
  <c r="G18" i="22" s="1"/>
  <c r="V23" i="24" l="1"/>
  <c r="R23" i="24"/>
  <c r="N23" i="24"/>
  <c r="G19" i="22" s="1"/>
  <c r="J31" i="24" l="1"/>
  <c r="W23" i="24"/>
  <c r="C32" i="18" l="1"/>
  <c r="F32" i="18"/>
  <c r="I32" i="18" s="1"/>
  <c r="C33" i="18"/>
  <c r="F33" i="18"/>
  <c r="I33" i="18" s="1"/>
  <c r="C31" i="18"/>
  <c r="F31" i="18"/>
  <c r="I31" i="18" s="1"/>
  <c r="F22" i="18"/>
  <c r="I22" i="18" s="1"/>
  <c r="F23" i="18"/>
  <c r="I23" i="18" s="1"/>
  <c r="F24" i="18"/>
  <c r="I24" i="18" s="1"/>
  <c r="F25" i="18"/>
  <c r="I25" i="18" s="1"/>
  <c r="F26" i="18"/>
  <c r="I26" i="18" s="1"/>
  <c r="F27" i="18"/>
  <c r="I27" i="18" s="1"/>
  <c r="F28" i="18"/>
  <c r="I28" i="18" s="1"/>
  <c r="F29" i="18"/>
  <c r="I29" i="18" s="1"/>
  <c r="F30" i="18"/>
  <c r="I30" i="18" s="1"/>
  <c r="C22" i="18"/>
  <c r="C23" i="18"/>
  <c r="E23" i="18" s="1"/>
  <c r="C24" i="18"/>
  <c r="C25" i="18"/>
  <c r="C26" i="18"/>
  <c r="C27" i="18"/>
  <c r="C28" i="18"/>
  <c r="C29" i="18"/>
  <c r="C30" i="18"/>
  <c r="H275" i="4"/>
  <c r="G257" i="10" s="1"/>
  <c r="E275" i="4"/>
  <c r="E25" i="18" l="1"/>
  <c r="E27" i="18"/>
  <c r="E31" i="18"/>
  <c r="E32" i="18"/>
  <c r="E29" i="18"/>
  <c r="E33" i="18"/>
  <c r="E22" i="18"/>
  <c r="E24" i="18"/>
  <c r="E26" i="18"/>
  <c r="E28" i="18"/>
  <c r="E30" i="18"/>
  <c r="E274" i="4" l="1"/>
  <c r="G26" i="5" l="1"/>
  <c r="E20" i="2" s="1"/>
  <c r="F20" i="2" s="1"/>
  <c r="G128" i="5"/>
  <c r="E122" i="2" s="1"/>
  <c r="F122" i="2" s="1"/>
  <c r="G129" i="5"/>
  <c r="E123" i="2" s="1"/>
  <c r="F123" i="2" s="1"/>
  <c r="G130" i="5"/>
  <c r="E124" i="2" s="1"/>
  <c r="F124" i="2" s="1"/>
  <c r="G131" i="5"/>
  <c r="E125" i="2" s="1"/>
  <c r="F125" i="2" s="1"/>
  <c r="G132" i="5"/>
  <c r="E126" i="2" s="1"/>
  <c r="F126" i="2" s="1"/>
  <c r="G133" i="5"/>
  <c r="E127" i="2" s="1"/>
  <c r="F127" i="2" s="1"/>
  <c r="G134" i="5"/>
  <c r="E128" i="2" s="1"/>
  <c r="F128" i="2" s="1"/>
  <c r="G135" i="5"/>
  <c r="E129" i="2" s="1"/>
  <c r="F129" i="2" s="1"/>
  <c r="G136" i="5"/>
  <c r="E130" i="2" s="1"/>
  <c r="F130" i="2" s="1"/>
  <c r="G137" i="5"/>
  <c r="E131" i="2" s="1"/>
  <c r="F131" i="2" s="1"/>
  <c r="G138" i="5"/>
  <c r="E132" i="2" s="1"/>
  <c r="F132" i="2" s="1"/>
  <c r="G139" i="5"/>
  <c r="E133" i="2" s="1"/>
  <c r="F133" i="2" s="1"/>
  <c r="G140" i="5"/>
  <c r="E134" i="2" s="1"/>
  <c r="F134" i="2" s="1"/>
  <c r="G141" i="5"/>
  <c r="E135" i="2" s="1"/>
  <c r="F135" i="2" s="1"/>
  <c r="G142" i="5"/>
  <c r="E136" i="2" s="1"/>
  <c r="F136" i="2" s="1"/>
  <c r="G143" i="5"/>
  <c r="E137" i="2" s="1"/>
  <c r="F137" i="2" s="1"/>
  <c r="G144" i="5"/>
  <c r="E138" i="2" s="1"/>
  <c r="F138" i="2" s="1"/>
  <c r="G145" i="5"/>
  <c r="E139" i="2" s="1"/>
  <c r="F139" i="2" s="1"/>
  <c r="G146" i="5"/>
  <c r="E140" i="2" s="1"/>
  <c r="F140" i="2" s="1"/>
  <c r="G147" i="5"/>
  <c r="E141" i="2" s="1"/>
  <c r="F141" i="2" s="1"/>
  <c r="G148" i="5"/>
  <c r="E142" i="2" s="1"/>
  <c r="F142" i="2" s="1"/>
  <c r="G149" i="5"/>
  <c r="E143" i="2" s="1"/>
  <c r="F143" i="2" s="1"/>
  <c r="G150" i="5"/>
  <c r="E144" i="2" s="1"/>
  <c r="F144" i="2" s="1"/>
  <c r="G151" i="5"/>
  <c r="E145" i="2" s="1"/>
  <c r="F145" i="2" s="1"/>
  <c r="G152" i="5"/>
  <c r="E146" i="2" s="1"/>
  <c r="F146" i="2" s="1"/>
  <c r="G153" i="5"/>
  <c r="E147" i="2" s="1"/>
  <c r="F147" i="2" s="1"/>
  <c r="G154" i="5"/>
  <c r="E148" i="2" s="1"/>
  <c r="F148" i="2" s="1"/>
  <c r="G155" i="5"/>
  <c r="E149" i="2" s="1"/>
  <c r="F149" i="2" s="1"/>
  <c r="G156" i="5"/>
  <c r="E150" i="2" s="1"/>
  <c r="F150" i="2" s="1"/>
  <c r="G157" i="5"/>
  <c r="E151" i="2" s="1"/>
  <c r="F151" i="2" s="1"/>
  <c r="G158" i="5"/>
  <c r="E152" i="2" s="1"/>
  <c r="F152" i="2" s="1"/>
  <c r="G159" i="5"/>
  <c r="E153" i="2" s="1"/>
  <c r="F153" i="2" s="1"/>
  <c r="G160" i="5"/>
  <c r="E154" i="2" s="1"/>
  <c r="F154" i="2" s="1"/>
  <c r="G161" i="5"/>
  <c r="E155" i="2" s="1"/>
  <c r="F155" i="2" s="1"/>
  <c r="G162" i="5"/>
  <c r="E156" i="2" s="1"/>
  <c r="F156" i="2" s="1"/>
  <c r="G163" i="5"/>
  <c r="E157" i="2" s="1"/>
  <c r="F157" i="2" s="1"/>
  <c r="G164" i="5"/>
  <c r="E158" i="2" s="1"/>
  <c r="F158" i="2" s="1"/>
  <c r="G165" i="5"/>
  <c r="E159" i="2" s="1"/>
  <c r="F159" i="2" s="1"/>
  <c r="G166" i="5"/>
  <c r="E160" i="2" s="1"/>
  <c r="F160" i="2" s="1"/>
  <c r="G167" i="5"/>
  <c r="E161" i="2" s="1"/>
  <c r="F161" i="2" s="1"/>
  <c r="G168" i="5"/>
  <c r="E162" i="2" s="1"/>
  <c r="F162" i="2" s="1"/>
  <c r="G169" i="5"/>
  <c r="E163" i="2" s="1"/>
  <c r="F163" i="2" s="1"/>
  <c r="G170" i="5"/>
  <c r="E164" i="2" s="1"/>
  <c r="F164" i="2" s="1"/>
  <c r="G171" i="5"/>
  <c r="E165" i="2" s="1"/>
  <c r="F165" i="2" s="1"/>
  <c r="G172" i="5"/>
  <c r="E166" i="2" s="1"/>
  <c r="F166" i="2" s="1"/>
  <c r="G173" i="5"/>
  <c r="E167" i="2" s="1"/>
  <c r="F167" i="2" s="1"/>
  <c r="G174" i="5"/>
  <c r="E168" i="2" s="1"/>
  <c r="F168" i="2" s="1"/>
  <c r="G175" i="5"/>
  <c r="E169" i="2" s="1"/>
  <c r="F169" i="2" s="1"/>
  <c r="G176" i="5"/>
  <c r="E170" i="2" s="1"/>
  <c r="F170" i="2" s="1"/>
  <c r="G177" i="5"/>
  <c r="E171" i="2" s="1"/>
  <c r="F171" i="2" s="1"/>
  <c r="G178" i="5"/>
  <c r="E172" i="2" s="1"/>
  <c r="F172" i="2" s="1"/>
  <c r="G179" i="5"/>
  <c r="E173" i="2" s="1"/>
  <c r="F173" i="2" s="1"/>
  <c r="G180" i="5"/>
  <c r="E174" i="2" s="1"/>
  <c r="F174" i="2" s="1"/>
  <c r="G181" i="5"/>
  <c r="E175" i="2" s="1"/>
  <c r="F175" i="2" s="1"/>
  <c r="G182" i="5"/>
  <c r="E176" i="2" s="1"/>
  <c r="F176" i="2" s="1"/>
  <c r="G183" i="5"/>
  <c r="E177" i="2" s="1"/>
  <c r="F177" i="2" s="1"/>
  <c r="G184" i="5"/>
  <c r="E178" i="2" s="1"/>
  <c r="F178" i="2" s="1"/>
  <c r="G185" i="5"/>
  <c r="E179" i="2" s="1"/>
  <c r="F179" i="2" s="1"/>
  <c r="G186" i="5"/>
  <c r="E180" i="2" s="1"/>
  <c r="F180" i="2" s="1"/>
  <c r="G187" i="5"/>
  <c r="E181" i="2" s="1"/>
  <c r="F181" i="2" s="1"/>
  <c r="G188" i="5"/>
  <c r="E182" i="2" s="1"/>
  <c r="F182" i="2" s="1"/>
  <c r="G189" i="5"/>
  <c r="E183" i="2" s="1"/>
  <c r="F183" i="2" s="1"/>
  <c r="G190" i="5"/>
  <c r="E184" i="2" s="1"/>
  <c r="F184" i="2" s="1"/>
  <c r="G191" i="5"/>
  <c r="E185" i="2" s="1"/>
  <c r="F185" i="2" s="1"/>
  <c r="G192" i="5"/>
  <c r="E186" i="2" s="1"/>
  <c r="F186" i="2" s="1"/>
  <c r="G193" i="5"/>
  <c r="E187" i="2" s="1"/>
  <c r="F187" i="2" s="1"/>
  <c r="G194" i="5"/>
  <c r="E188" i="2" s="1"/>
  <c r="F188" i="2" s="1"/>
  <c r="G195" i="5"/>
  <c r="E189" i="2" s="1"/>
  <c r="F189" i="2" s="1"/>
  <c r="G196" i="5"/>
  <c r="E190" i="2" s="1"/>
  <c r="F190" i="2" s="1"/>
  <c r="G197" i="5"/>
  <c r="E191" i="2" s="1"/>
  <c r="F191" i="2" s="1"/>
  <c r="G198" i="5"/>
  <c r="E192" i="2" s="1"/>
  <c r="F192" i="2" s="1"/>
  <c r="G199" i="5"/>
  <c r="E193" i="2" s="1"/>
  <c r="F193" i="2" s="1"/>
  <c r="G200" i="5"/>
  <c r="E194" i="2" s="1"/>
  <c r="F194" i="2" s="1"/>
  <c r="G201" i="5"/>
  <c r="E195" i="2" s="1"/>
  <c r="F195" i="2" s="1"/>
  <c r="G202" i="5"/>
  <c r="E196" i="2" s="1"/>
  <c r="F196" i="2" s="1"/>
  <c r="G203" i="5"/>
  <c r="E197" i="2" s="1"/>
  <c r="F197" i="2" s="1"/>
  <c r="G204" i="5"/>
  <c r="E198" i="2" s="1"/>
  <c r="F198" i="2" s="1"/>
  <c r="G205" i="5"/>
  <c r="E199" i="2" s="1"/>
  <c r="F199" i="2" s="1"/>
  <c r="G206" i="5"/>
  <c r="E200" i="2" s="1"/>
  <c r="F200" i="2" s="1"/>
  <c r="G207" i="5"/>
  <c r="E201" i="2" s="1"/>
  <c r="F201" i="2" s="1"/>
  <c r="G208" i="5"/>
  <c r="E202" i="2" s="1"/>
  <c r="F202" i="2" s="1"/>
  <c r="G209" i="5"/>
  <c r="E203" i="2" s="1"/>
  <c r="F203" i="2" s="1"/>
  <c r="G210" i="5"/>
  <c r="E204" i="2" s="1"/>
  <c r="F204" i="2" s="1"/>
  <c r="G211" i="5"/>
  <c r="E205" i="2" s="1"/>
  <c r="F205" i="2" s="1"/>
  <c r="G212" i="5"/>
  <c r="E206" i="2" s="1"/>
  <c r="F206" i="2" s="1"/>
  <c r="G213" i="5"/>
  <c r="E207" i="2" s="1"/>
  <c r="F207" i="2" s="1"/>
  <c r="G214" i="5"/>
  <c r="E208" i="2" s="1"/>
  <c r="F208" i="2" s="1"/>
  <c r="G215" i="5"/>
  <c r="E209" i="2" s="1"/>
  <c r="F209" i="2" s="1"/>
  <c r="G216" i="5"/>
  <c r="E210" i="2" s="1"/>
  <c r="F210" i="2" s="1"/>
  <c r="G217" i="5"/>
  <c r="E211" i="2" s="1"/>
  <c r="F211" i="2" s="1"/>
  <c r="G218" i="5"/>
  <c r="E212" i="2" s="1"/>
  <c r="F212" i="2" s="1"/>
  <c r="G219" i="5"/>
  <c r="E213" i="2" s="1"/>
  <c r="F213" i="2" s="1"/>
  <c r="G220" i="5"/>
  <c r="E214" i="2" s="1"/>
  <c r="F214" i="2" s="1"/>
  <c r="G221" i="5"/>
  <c r="E215" i="2" s="1"/>
  <c r="F215" i="2" s="1"/>
  <c r="G222" i="5"/>
  <c r="E216" i="2" s="1"/>
  <c r="F216" i="2" s="1"/>
  <c r="G223" i="5"/>
  <c r="E217" i="2" s="1"/>
  <c r="F217" i="2" s="1"/>
  <c r="G224" i="5"/>
  <c r="E218" i="2" s="1"/>
  <c r="F218" i="2" s="1"/>
  <c r="G225" i="5"/>
  <c r="E219" i="2" s="1"/>
  <c r="F219" i="2" s="1"/>
  <c r="G226" i="5"/>
  <c r="E220" i="2" s="1"/>
  <c r="F220" i="2" s="1"/>
  <c r="G227" i="5"/>
  <c r="E221" i="2" s="1"/>
  <c r="F221" i="2" s="1"/>
  <c r="G228" i="5"/>
  <c r="E222" i="2" s="1"/>
  <c r="F222" i="2" s="1"/>
  <c r="G229" i="5"/>
  <c r="E223" i="2" s="1"/>
  <c r="F223" i="2" s="1"/>
  <c r="G230" i="5"/>
  <c r="E224" i="2" s="1"/>
  <c r="F224" i="2" s="1"/>
  <c r="G231" i="5"/>
  <c r="E225" i="2" s="1"/>
  <c r="F225" i="2" s="1"/>
  <c r="G232" i="5"/>
  <c r="E226" i="2" s="1"/>
  <c r="F226" i="2" s="1"/>
  <c r="G233" i="5"/>
  <c r="E227" i="2" s="1"/>
  <c r="F227" i="2" s="1"/>
  <c r="G234" i="5"/>
  <c r="E228" i="2" s="1"/>
  <c r="F228" i="2" s="1"/>
  <c r="G235" i="5"/>
  <c r="E229" i="2" s="1"/>
  <c r="F229" i="2" s="1"/>
  <c r="G236" i="5"/>
  <c r="E230" i="2" s="1"/>
  <c r="F230" i="2" s="1"/>
  <c r="G237" i="5"/>
  <c r="E231" i="2" s="1"/>
  <c r="F231" i="2" s="1"/>
  <c r="G238" i="5"/>
  <c r="E232" i="2" s="1"/>
  <c r="F232" i="2" s="1"/>
  <c r="G239" i="5"/>
  <c r="E233" i="2" s="1"/>
  <c r="F233" i="2" s="1"/>
  <c r="G240" i="5"/>
  <c r="E234" i="2" s="1"/>
  <c r="F234" i="2" s="1"/>
  <c r="G241" i="5"/>
  <c r="E235" i="2" s="1"/>
  <c r="F235" i="2" s="1"/>
  <c r="G242" i="5"/>
  <c r="E236" i="2" s="1"/>
  <c r="F236" i="2" s="1"/>
  <c r="G243" i="5"/>
  <c r="E237" i="2" s="1"/>
  <c r="F237" i="2" s="1"/>
  <c r="G244" i="5"/>
  <c r="E238" i="2" s="1"/>
  <c r="F238" i="2" s="1"/>
  <c r="G245" i="5"/>
  <c r="E239" i="2" s="1"/>
  <c r="F239" i="2" s="1"/>
  <c r="G246" i="5"/>
  <c r="E240" i="2" s="1"/>
  <c r="F240" i="2" s="1"/>
  <c r="G247" i="5"/>
  <c r="E241" i="2" s="1"/>
  <c r="F241" i="2" s="1"/>
  <c r="G248" i="5"/>
  <c r="E242" i="2" s="1"/>
  <c r="F242" i="2" s="1"/>
  <c r="G249" i="5"/>
  <c r="E243" i="2" s="1"/>
  <c r="F243" i="2" s="1"/>
  <c r="G250" i="5"/>
  <c r="E244" i="2" s="1"/>
  <c r="F244" i="2" s="1"/>
  <c r="G251" i="5"/>
  <c r="E245" i="2" s="1"/>
  <c r="F245" i="2" s="1"/>
  <c r="G252" i="5"/>
  <c r="E246" i="2" s="1"/>
  <c r="F246" i="2" s="1"/>
  <c r="G253" i="5"/>
  <c r="E247" i="2" s="1"/>
  <c r="F247" i="2" s="1"/>
  <c r="G254" i="5"/>
  <c r="E248" i="2" s="1"/>
  <c r="F248" i="2" s="1"/>
  <c r="G255" i="5"/>
  <c r="E249" i="2" s="1"/>
  <c r="F249" i="2" s="1"/>
  <c r="G256" i="5"/>
  <c r="E250" i="2" s="1"/>
  <c r="F250" i="2" s="1"/>
  <c r="G257" i="5"/>
  <c r="E251" i="2" s="1"/>
  <c r="F251" i="2" s="1"/>
  <c r="G258" i="5"/>
  <c r="E252" i="2" s="1"/>
  <c r="F252" i="2" s="1"/>
  <c r="G259" i="5"/>
  <c r="E253" i="2" s="1"/>
  <c r="F253" i="2" s="1"/>
  <c r="G260" i="5"/>
  <c r="E254" i="2" s="1"/>
  <c r="F254" i="2" s="1"/>
  <c r="G261" i="5"/>
  <c r="E255" i="2" s="1"/>
  <c r="F255" i="2" s="1"/>
  <c r="G262" i="5"/>
  <c r="E256" i="2" s="1"/>
  <c r="F256" i="2" s="1"/>
  <c r="G263" i="5"/>
  <c r="E257" i="2" s="1"/>
  <c r="F257" i="2" s="1"/>
  <c r="G264" i="5"/>
  <c r="E258" i="2" s="1"/>
  <c r="F258" i="2" s="1"/>
  <c r="G265" i="5"/>
  <c r="E259" i="2" s="1"/>
  <c r="F259" i="2" s="1"/>
  <c r="G266" i="5"/>
  <c r="E260" i="2" s="1"/>
  <c r="F260" i="2" s="1"/>
  <c r="G267" i="5"/>
  <c r="E261" i="2" s="1"/>
  <c r="F261" i="2" s="1"/>
  <c r="G268" i="5"/>
  <c r="E262" i="2" s="1"/>
  <c r="F262" i="2" s="1"/>
  <c r="G269" i="5"/>
  <c r="E263" i="2" s="1"/>
  <c r="F263" i="2" s="1"/>
  <c r="G270" i="5"/>
  <c r="E264" i="2" s="1"/>
  <c r="F264" i="2" s="1"/>
  <c r="G271" i="5"/>
  <c r="E265" i="2" s="1"/>
  <c r="F265" i="2" s="1"/>
  <c r="G272" i="5"/>
  <c r="E266" i="2" s="1"/>
  <c r="F266" i="2" s="1"/>
  <c r="G273" i="5"/>
  <c r="E267" i="2" s="1"/>
  <c r="F267" i="2" s="1"/>
  <c r="G274" i="5"/>
  <c r="E268" i="2" s="1"/>
  <c r="F268" i="2" s="1"/>
  <c r="G275" i="5"/>
  <c r="E269" i="2" s="1"/>
  <c r="F269" i="2" s="1"/>
  <c r="G276" i="5"/>
  <c r="E270" i="2" s="1"/>
  <c r="F270" i="2" s="1"/>
  <c r="G277" i="5"/>
  <c r="E271" i="2" s="1"/>
  <c r="F271" i="2" s="1"/>
  <c r="G278" i="5"/>
  <c r="E272" i="2" s="1"/>
  <c r="F272" i="2" s="1"/>
  <c r="G279" i="5"/>
  <c r="E273" i="2" s="1"/>
  <c r="F273" i="2" s="1"/>
  <c r="E274" i="2"/>
  <c r="F274" i="2" s="1"/>
  <c r="H39" i="4"/>
  <c r="G21" i="10" s="1"/>
  <c r="H40" i="4"/>
  <c r="G22" i="10" s="1"/>
  <c r="H41" i="4"/>
  <c r="G23" i="10" s="1"/>
  <c r="H56" i="4"/>
  <c r="G38" i="10" s="1"/>
  <c r="H57" i="4"/>
  <c r="G39" i="10" s="1"/>
  <c r="H58" i="4"/>
  <c r="G40" i="10" s="1"/>
  <c r="H59" i="4"/>
  <c r="G41" i="10" s="1"/>
  <c r="H60" i="4"/>
  <c r="G42" i="10" s="1"/>
  <c r="H61" i="4"/>
  <c r="G43" i="10" s="1"/>
  <c r="H62" i="4"/>
  <c r="G44" i="10" s="1"/>
  <c r="H63" i="4"/>
  <c r="G45" i="10" s="1"/>
  <c r="H64" i="4"/>
  <c r="G46" i="10" s="1"/>
  <c r="H65" i="4"/>
  <c r="G47" i="10" s="1"/>
  <c r="H66" i="4"/>
  <c r="G48" i="10" s="1"/>
  <c r="H67" i="4"/>
  <c r="G49" i="10" s="1"/>
  <c r="H68" i="4"/>
  <c r="G50" i="10" s="1"/>
  <c r="H69" i="4"/>
  <c r="G51" i="10" s="1"/>
  <c r="H70" i="4"/>
  <c r="G52" i="10" s="1"/>
  <c r="H71" i="4"/>
  <c r="G53" i="10" s="1"/>
  <c r="H72" i="4"/>
  <c r="G54" i="10" s="1"/>
  <c r="H73" i="4"/>
  <c r="G55" i="10" s="1"/>
  <c r="H74" i="4"/>
  <c r="G56" i="10" s="1"/>
  <c r="H75" i="4"/>
  <c r="G57" i="10" s="1"/>
  <c r="H76" i="4"/>
  <c r="G58" i="10" s="1"/>
  <c r="H77" i="4"/>
  <c r="G59" i="10" s="1"/>
  <c r="H78" i="4"/>
  <c r="G60" i="10" s="1"/>
  <c r="H79" i="4"/>
  <c r="G61" i="10" s="1"/>
  <c r="H80" i="4"/>
  <c r="G62" i="10" s="1"/>
  <c r="H81" i="4"/>
  <c r="G63" i="10" s="1"/>
  <c r="H82" i="4"/>
  <c r="G64" i="10" s="1"/>
  <c r="H83" i="4"/>
  <c r="G65" i="10" s="1"/>
  <c r="H84" i="4"/>
  <c r="G66" i="10" s="1"/>
  <c r="H85" i="4"/>
  <c r="G67" i="10" s="1"/>
  <c r="H86" i="4"/>
  <c r="G68" i="10" s="1"/>
  <c r="H87" i="4"/>
  <c r="G69" i="10" s="1"/>
  <c r="H88" i="4"/>
  <c r="G70" i="10" s="1"/>
  <c r="H89" i="4"/>
  <c r="G71" i="10" s="1"/>
  <c r="H90" i="4"/>
  <c r="G72" i="10" s="1"/>
  <c r="H91" i="4"/>
  <c r="G73" i="10" s="1"/>
  <c r="H92" i="4"/>
  <c r="G74" i="10" s="1"/>
  <c r="H93" i="4"/>
  <c r="G75" i="10" s="1"/>
  <c r="H94" i="4"/>
  <c r="G76" i="10" s="1"/>
  <c r="H95" i="4"/>
  <c r="G77" i="10" s="1"/>
  <c r="H96" i="4"/>
  <c r="G78" i="10" s="1"/>
  <c r="H97" i="4"/>
  <c r="G79" i="10" s="1"/>
  <c r="H98" i="4"/>
  <c r="G80" i="10" s="1"/>
  <c r="H99" i="4"/>
  <c r="G81" i="10" s="1"/>
  <c r="H100" i="4"/>
  <c r="G82" i="10" s="1"/>
  <c r="H101" i="4"/>
  <c r="G83" i="10" s="1"/>
  <c r="H102" i="4"/>
  <c r="G84" i="10" s="1"/>
  <c r="H103" i="4"/>
  <c r="G85" i="10" s="1"/>
  <c r="H104" i="4"/>
  <c r="G86" i="10" s="1"/>
  <c r="H105" i="4"/>
  <c r="G87" i="10" s="1"/>
  <c r="H106" i="4"/>
  <c r="G88" i="10" s="1"/>
  <c r="H107" i="4"/>
  <c r="G89" i="10" s="1"/>
  <c r="H108" i="4"/>
  <c r="G90" i="10" s="1"/>
  <c r="H109" i="4"/>
  <c r="G91" i="10" s="1"/>
  <c r="H110" i="4"/>
  <c r="G92" i="10" s="1"/>
  <c r="H111" i="4"/>
  <c r="G93" i="10" s="1"/>
  <c r="H112" i="4"/>
  <c r="G94" i="10" s="1"/>
  <c r="H113" i="4"/>
  <c r="G95" i="10" s="1"/>
  <c r="H114" i="4"/>
  <c r="G96" i="10" s="1"/>
  <c r="H115" i="4"/>
  <c r="G97" i="10" s="1"/>
  <c r="H116" i="4"/>
  <c r="G98" i="10" s="1"/>
  <c r="H117" i="4"/>
  <c r="G99" i="10" s="1"/>
  <c r="H118" i="4"/>
  <c r="G100" i="10" s="1"/>
  <c r="H119" i="4"/>
  <c r="G101" i="10" s="1"/>
  <c r="H120" i="4"/>
  <c r="G102" i="10" s="1"/>
  <c r="H121" i="4"/>
  <c r="G103" i="10" s="1"/>
  <c r="H122" i="4"/>
  <c r="G104" i="10" s="1"/>
  <c r="H123" i="4"/>
  <c r="G105" i="10" s="1"/>
  <c r="H124" i="4"/>
  <c r="G106" i="10" s="1"/>
  <c r="H125" i="4"/>
  <c r="G107" i="10" s="1"/>
  <c r="H126" i="4"/>
  <c r="G108" i="10" s="1"/>
  <c r="H127" i="4"/>
  <c r="G109" i="10" s="1"/>
  <c r="H128" i="4"/>
  <c r="G110" i="10" s="1"/>
  <c r="H129" i="4"/>
  <c r="G111" i="10" s="1"/>
  <c r="H130" i="4"/>
  <c r="G112" i="10" s="1"/>
  <c r="H131" i="4"/>
  <c r="G113" i="10" s="1"/>
  <c r="H132" i="4"/>
  <c r="G114" i="10" s="1"/>
  <c r="H133" i="4"/>
  <c r="G115" i="10" s="1"/>
  <c r="H134" i="4"/>
  <c r="G116" i="10" s="1"/>
  <c r="H135" i="4"/>
  <c r="G117" i="10" s="1"/>
  <c r="H136" i="4"/>
  <c r="G118" i="10" s="1"/>
  <c r="H137" i="4"/>
  <c r="G119" i="10" s="1"/>
  <c r="H138" i="4"/>
  <c r="G120" i="10" s="1"/>
  <c r="H139" i="4"/>
  <c r="G121" i="10" s="1"/>
  <c r="H140" i="4"/>
  <c r="G122" i="10" s="1"/>
  <c r="H141" i="4"/>
  <c r="G123" i="10" s="1"/>
  <c r="H142" i="4"/>
  <c r="G124" i="10" s="1"/>
  <c r="H143" i="4"/>
  <c r="G125" i="10" s="1"/>
  <c r="H144" i="4"/>
  <c r="G126" i="10" s="1"/>
  <c r="H145" i="4"/>
  <c r="G127" i="10" s="1"/>
  <c r="H146" i="4"/>
  <c r="G128" i="10" s="1"/>
  <c r="H147" i="4"/>
  <c r="G129" i="10" s="1"/>
  <c r="H148" i="4"/>
  <c r="G130" i="10" s="1"/>
  <c r="H149" i="4"/>
  <c r="G131" i="10" s="1"/>
  <c r="H150" i="4"/>
  <c r="G132" i="10" s="1"/>
  <c r="H151" i="4"/>
  <c r="G133" i="10" s="1"/>
  <c r="H152" i="4"/>
  <c r="G134" i="10" s="1"/>
  <c r="H153" i="4"/>
  <c r="G135" i="10" s="1"/>
  <c r="H154" i="4"/>
  <c r="G136" i="10" s="1"/>
  <c r="H155" i="4"/>
  <c r="G137" i="10" s="1"/>
  <c r="H156" i="4"/>
  <c r="G138" i="10" s="1"/>
  <c r="H157" i="4"/>
  <c r="G139" i="10" s="1"/>
  <c r="H158" i="4"/>
  <c r="G140" i="10" s="1"/>
  <c r="H159" i="4"/>
  <c r="G141" i="10" s="1"/>
  <c r="H160" i="4"/>
  <c r="G142" i="10" s="1"/>
  <c r="H161" i="4"/>
  <c r="G143" i="10" s="1"/>
  <c r="H162" i="4"/>
  <c r="G144" i="10" s="1"/>
  <c r="H163" i="4"/>
  <c r="G145" i="10" s="1"/>
  <c r="H164" i="4"/>
  <c r="G146" i="10" s="1"/>
  <c r="H165" i="4"/>
  <c r="G147" i="10" s="1"/>
  <c r="H166" i="4"/>
  <c r="G148" i="10" s="1"/>
  <c r="H167" i="4"/>
  <c r="G149" i="10" s="1"/>
  <c r="H168" i="4"/>
  <c r="G150" i="10" s="1"/>
  <c r="H169" i="4"/>
  <c r="G151" i="10" s="1"/>
  <c r="H170" i="4"/>
  <c r="G152" i="10" s="1"/>
  <c r="H171" i="4"/>
  <c r="G153" i="10" s="1"/>
  <c r="H172" i="4"/>
  <c r="G154" i="10" s="1"/>
  <c r="H173" i="4"/>
  <c r="G155" i="10" s="1"/>
  <c r="H174" i="4"/>
  <c r="G156" i="10" s="1"/>
  <c r="H175" i="4"/>
  <c r="G157" i="10" s="1"/>
  <c r="H176" i="4"/>
  <c r="G158" i="10" s="1"/>
  <c r="H177" i="4"/>
  <c r="G159" i="10" s="1"/>
  <c r="H178" i="4"/>
  <c r="G160" i="10" s="1"/>
  <c r="H179" i="4"/>
  <c r="G161" i="10" s="1"/>
  <c r="H180" i="4"/>
  <c r="G162" i="10" s="1"/>
  <c r="H181" i="4"/>
  <c r="G163" i="10" s="1"/>
  <c r="H182" i="4"/>
  <c r="G164" i="10" s="1"/>
  <c r="H183" i="4"/>
  <c r="G165" i="10" s="1"/>
  <c r="H184" i="4"/>
  <c r="G166" i="10" s="1"/>
  <c r="H185" i="4"/>
  <c r="G167" i="10" s="1"/>
  <c r="H186" i="4"/>
  <c r="G168" i="10" s="1"/>
  <c r="H187" i="4"/>
  <c r="G169" i="10" s="1"/>
  <c r="H188" i="4"/>
  <c r="G170" i="10" s="1"/>
  <c r="H189" i="4"/>
  <c r="G171" i="10" s="1"/>
  <c r="H190" i="4"/>
  <c r="G172" i="10" s="1"/>
  <c r="H191" i="4"/>
  <c r="G173" i="10" s="1"/>
  <c r="H192" i="4"/>
  <c r="G174" i="10" s="1"/>
  <c r="H193" i="4"/>
  <c r="G175" i="10" s="1"/>
  <c r="H194" i="4"/>
  <c r="G176" i="10" s="1"/>
  <c r="H195" i="4"/>
  <c r="G177" i="10" s="1"/>
  <c r="H196" i="4"/>
  <c r="G178" i="10" s="1"/>
  <c r="H197" i="4"/>
  <c r="G179" i="10" s="1"/>
  <c r="H198" i="4"/>
  <c r="G180" i="10" s="1"/>
  <c r="H199" i="4"/>
  <c r="G181" i="10" s="1"/>
  <c r="H200" i="4"/>
  <c r="G182" i="10" s="1"/>
  <c r="H201" i="4"/>
  <c r="G183" i="10" s="1"/>
  <c r="H202" i="4"/>
  <c r="G184" i="10" s="1"/>
  <c r="H203" i="4"/>
  <c r="G185" i="10" s="1"/>
  <c r="H204" i="4"/>
  <c r="G186" i="10" s="1"/>
  <c r="H205" i="4"/>
  <c r="G187" i="10" s="1"/>
  <c r="H206" i="4"/>
  <c r="G188" i="10" s="1"/>
  <c r="H207" i="4"/>
  <c r="G189" i="10" s="1"/>
  <c r="H208" i="4"/>
  <c r="G190" i="10" s="1"/>
  <c r="H209" i="4"/>
  <c r="G191" i="10" s="1"/>
  <c r="H210" i="4"/>
  <c r="G192" i="10" s="1"/>
  <c r="H211" i="4"/>
  <c r="G193" i="10" s="1"/>
  <c r="H212" i="4"/>
  <c r="G194" i="10" s="1"/>
  <c r="H213" i="4"/>
  <c r="G195" i="10" s="1"/>
  <c r="H214" i="4"/>
  <c r="G196" i="10" s="1"/>
  <c r="H215" i="4"/>
  <c r="G197" i="10" s="1"/>
  <c r="H216" i="4"/>
  <c r="G198" i="10" s="1"/>
  <c r="H217" i="4"/>
  <c r="G199" i="10" s="1"/>
  <c r="H218" i="4"/>
  <c r="G200" i="10" s="1"/>
  <c r="H219" i="4"/>
  <c r="G201" i="10" s="1"/>
  <c r="H220" i="4"/>
  <c r="G202" i="10" s="1"/>
  <c r="H221" i="4"/>
  <c r="G203" i="10" s="1"/>
  <c r="H222" i="4"/>
  <c r="G204" i="10" s="1"/>
  <c r="H223" i="4"/>
  <c r="G205" i="10" s="1"/>
  <c r="H224" i="4"/>
  <c r="G206" i="10" s="1"/>
  <c r="H225" i="4"/>
  <c r="G207" i="10" s="1"/>
  <c r="H226" i="4"/>
  <c r="G208" i="10" s="1"/>
  <c r="H227" i="4"/>
  <c r="G209" i="10" s="1"/>
  <c r="H228" i="4"/>
  <c r="G210" i="10" s="1"/>
  <c r="H229" i="4"/>
  <c r="G211" i="10" s="1"/>
  <c r="H230" i="4"/>
  <c r="G212" i="10" s="1"/>
  <c r="H231" i="4"/>
  <c r="G213" i="10" s="1"/>
  <c r="H232" i="4"/>
  <c r="G214" i="10" s="1"/>
  <c r="H233" i="4"/>
  <c r="G215" i="10" s="1"/>
  <c r="H234" i="4"/>
  <c r="G216" i="10" s="1"/>
  <c r="H235" i="4"/>
  <c r="G217" i="10" s="1"/>
  <c r="H236" i="4"/>
  <c r="G218" i="10" s="1"/>
  <c r="H237" i="4"/>
  <c r="G219" i="10" s="1"/>
  <c r="H238" i="4"/>
  <c r="G220" i="10" s="1"/>
  <c r="H239" i="4"/>
  <c r="G221" i="10" s="1"/>
  <c r="H240" i="4"/>
  <c r="G222" i="10" s="1"/>
  <c r="H241" i="4"/>
  <c r="G223" i="10" s="1"/>
  <c r="H242" i="4"/>
  <c r="G224" i="10" s="1"/>
  <c r="H243" i="4"/>
  <c r="G225" i="10" s="1"/>
  <c r="H244" i="4"/>
  <c r="G226" i="10" s="1"/>
  <c r="H245" i="4"/>
  <c r="G227" i="10" s="1"/>
  <c r="H246" i="4"/>
  <c r="G228" i="10" s="1"/>
  <c r="H247" i="4"/>
  <c r="G229" i="10" s="1"/>
  <c r="H248" i="4"/>
  <c r="G230" i="10" s="1"/>
  <c r="H249" i="4"/>
  <c r="G231" i="10" s="1"/>
  <c r="H250" i="4"/>
  <c r="G232" i="10" s="1"/>
  <c r="H251" i="4"/>
  <c r="G233" i="10" s="1"/>
  <c r="H252" i="4"/>
  <c r="G234" i="10" s="1"/>
  <c r="H253" i="4"/>
  <c r="G235" i="10" s="1"/>
  <c r="H254" i="4"/>
  <c r="G236" i="10" s="1"/>
  <c r="H255" i="4"/>
  <c r="G237" i="10" s="1"/>
  <c r="H256" i="4"/>
  <c r="G238" i="10" s="1"/>
  <c r="H257" i="4"/>
  <c r="G239" i="10" s="1"/>
  <c r="H258" i="4"/>
  <c r="G240" i="10" s="1"/>
  <c r="H259" i="4"/>
  <c r="G241" i="10" s="1"/>
  <c r="H260" i="4"/>
  <c r="G242" i="10" s="1"/>
  <c r="H261" i="4"/>
  <c r="G243" i="10" s="1"/>
  <c r="H262" i="4"/>
  <c r="G244" i="10" s="1"/>
  <c r="H263" i="4"/>
  <c r="G245" i="10" s="1"/>
  <c r="H264" i="4"/>
  <c r="G246" i="10" s="1"/>
  <c r="H265" i="4"/>
  <c r="G247" i="10" s="1"/>
  <c r="H266" i="4"/>
  <c r="G248" i="10" s="1"/>
  <c r="H267" i="4"/>
  <c r="G249" i="10" s="1"/>
  <c r="H268" i="4"/>
  <c r="G250" i="10" s="1"/>
  <c r="H269" i="4"/>
  <c r="G251" i="10" s="1"/>
  <c r="H270" i="4"/>
  <c r="G252" i="10" s="1"/>
  <c r="H271" i="4"/>
  <c r="G253" i="10" s="1"/>
  <c r="H272" i="4"/>
  <c r="G254" i="10" s="1"/>
  <c r="H273" i="4"/>
  <c r="G255" i="10" s="1"/>
  <c r="H274" i="4"/>
  <c r="G256" i="10" s="1"/>
  <c r="E46" i="4"/>
  <c r="E47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339" i="4" l="1"/>
  <c r="E344" i="4" s="1"/>
  <c r="F16" i="2"/>
  <c r="F17" i="2"/>
  <c r="A23" i="5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G267" i="2" l="1"/>
  <c r="G274" i="2"/>
  <c r="G266" i="2"/>
  <c r="G273" i="2"/>
  <c r="G265" i="2"/>
  <c r="G260" i="2"/>
  <c r="G272" i="2"/>
  <c r="G264" i="2"/>
  <c r="G271" i="2"/>
  <c r="G263" i="2"/>
  <c r="G270" i="2"/>
  <c r="G262" i="2"/>
  <c r="G269" i="2"/>
  <c r="G261" i="2"/>
  <c r="G268" i="2"/>
  <c r="G32" i="2"/>
  <c r="G59" i="2"/>
  <c r="G33" i="2"/>
  <c r="G28" i="2"/>
  <c r="G42" i="2"/>
  <c r="G70" i="2"/>
  <c r="G134" i="2"/>
  <c r="G198" i="2"/>
  <c r="G203" i="2"/>
  <c r="G121" i="2"/>
  <c r="G185" i="2"/>
  <c r="G249" i="2"/>
  <c r="G100" i="2"/>
  <c r="G164" i="2"/>
  <c r="G228" i="2"/>
  <c r="G63" i="2"/>
  <c r="G127" i="2"/>
  <c r="G191" i="2"/>
  <c r="G255" i="2"/>
  <c r="G106" i="2"/>
  <c r="G170" i="2"/>
  <c r="G234" i="2"/>
  <c r="G77" i="2"/>
  <c r="G141" i="2"/>
  <c r="G205" i="2"/>
  <c r="G131" i="2"/>
  <c r="G96" i="2"/>
  <c r="G160" i="2"/>
  <c r="G224" i="2"/>
  <c r="G99" i="2"/>
  <c r="G40" i="2"/>
  <c r="G22" i="2"/>
  <c r="G41" i="2"/>
  <c r="G36" i="2"/>
  <c r="G50" i="2"/>
  <c r="G78" i="2"/>
  <c r="G142" i="2"/>
  <c r="G206" i="2"/>
  <c r="G65" i="2"/>
  <c r="G129" i="2"/>
  <c r="G193" i="2"/>
  <c r="G257" i="2"/>
  <c r="G108" i="2"/>
  <c r="G172" i="2"/>
  <c r="G236" i="2"/>
  <c r="G71" i="2"/>
  <c r="G135" i="2"/>
  <c r="G199" i="2"/>
  <c r="G67" i="2"/>
  <c r="G114" i="2"/>
  <c r="G178" i="2"/>
  <c r="G242" i="2"/>
  <c r="G85" i="2"/>
  <c r="G149" i="2"/>
  <c r="G213" i="2"/>
  <c r="G171" i="2"/>
  <c r="G104" i="2"/>
  <c r="G168" i="2"/>
  <c r="G232" i="2"/>
  <c r="G48" i="2"/>
  <c r="G30" i="2"/>
  <c r="G49" i="2"/>
  <c r="G44" i="2"/>
  <c r="G58" i="2"/>
  <c r="G86" i="2"/>
  <c r="G150" i="2"/>
  <c r="G214" i="2"/>
  <c r="G73" i="2"/>
  <c r="G137" i="2"/>
  <c r="G201" i="2"/>
  <c r="G187" i="2"/>
  <c r="G116" i="2"/>
  <c r="G180" i="2"/>
  <c r="G244" i="2"/>
  <c r="G79" i="2"/>
  <c r="G143" i="2"/>
  <c r="G207" i="2"/>
  <c r="G251" i="2"/>
  <c r="G122" i="2"/>
  <c r="G186" i="2"/>
  <c r="G250" i="2"/>
  <c r="G93" i="2"/>
  <c r="G157" i="2"/>
  <c r="G221" i="2"/>
  <c r="G211" i="2"/>
  <c r="G112" i="2"/>
  <c r="G176" i="2"/>
  <c r="G240" i="2"/>
  <c r="G195" i="2"/>
  <c r="G235" i="2"/>
  <c r="G184" i="2"/>
  <c r="G248" i="2"/>
  <c r="G62" i="2"/>
  <c r="G26" i="2"/>
  <c r="G118" i="2"/>
  <c r="G182" i="2"/>
  <c r="G105" i="2"/>
  <c r="G84" i="2"/>
  <c r="G155" i="2"/>
  <c r="G175" i="2"/>
  <c r="G218" i="2"/>
  <c r="G253" i="2"/>
  <c r="G25" i="2"/>
  <c r="G34" i="2"/>
  <c r="G190" i="2"/>
  <c r="G177" i="2"/>
  <c r="G219" i="2"/>
  <c r="G162" i="2"/>
  <c r="G197" i="2"/>
  <c r="G216" i="2"/>
  <c r="G56" i="2"/>
  <c r="G38" i="2"/>
  <c r="G57" i="2"/>
  <c r="G52" i="2"/>
  <c r="G29" i="2"/>
  <c r="G94" i="2"/>
  <c r="G158" i="2"/>
  <c r="G222" i="2"/>
  <c r="G81" i="2"/>
  <c r="G145" i="2"/>
  <c r="G209" i="2"/>
  <c r="G227" i="2"/>
  <c r="G124" i="2"/>
  <c r="G188" i="2"/>
  <c r="G252" i="2"/>
  <c r="G87" i="2"/>
  <c r="G151" i="2"/>
  <c r="G215" i="2"/>
  <c r="G66" i="2"/>
  <c r="G130" i="2"/>
  <c r="G194" i="2"/>
  <c r="G258" i="2"/>
  <c r="G101" i="2"/>
  <c r="G165" i="2"/>
  <c r="G229" i="2"/>
  <c r="G120" i="2"/>
  <c r="G243" i="2"/>
  <c r="G39" i="2"/>
  <c r="G212" i="2"/>
  <c r="G154" i="2"/>
  <c r="G144" i="2"/>
  <c r="G47" i="2"/>
  <c r="G92" i="2"/>
  <c r="G183" i="2"/>
  <c r="G226" i="2"/>
  <c r="G115" i="2"/>
  <c r="G27" i="2"/>
  <c r="G46" i="2"/>
  <c r="G23" i="2"/>
  <c r="G60" i="2"/>
  <c r="G37" i="2"/>
  <c r="G102" i="2"/>
  <c r="G166" i="2"/>
  <c r="G230" i="2"/>
  <c r="G89" i="2"/>
  <c r="G153" i="2"/>
  <c r="G217" i="2"/>
  <c r="G68" i="2"/>
  <c r="G132" i="2"/>
  <c r="G196" i="2"/>
  <c r="G123" i="2"/>
  <c r="G95" i="2"/>
  <c r="G159" i="2"/>
  <c r="G223" i="2"/>
  <c r="G74" i="2"/>
  <c r="G138" i="2"/>
  <c r="G202" i="2"/>
  <c r="G147" i="2"/>
  <c r="G109" i="2"/>
  <c r="G173" i="2"/>
  <c r="G237" i="2"/>
  <c r="G64" i="2"/>
  <c r="G128" i="2"/>
  <c r="G192" i="2"/>
  <c r="G256" i="2"/>
  <c r="G259" i="2"/>
  <c r="G43" i="2"/>
  <c r="G53" i="2"/>
  <c r="G246" i="2"/>
  <c r="G169" i="2"/>
  <c r="G148" i="2"/>
  <c r="G111" i="2"/>
  <c r="G239" i="2"/>
  <c r="G179" i="2"/>
  <c r="G189" i="2"/>
  <c r="G208" i="2"/>
  <c r="G51" i="2"/>
  <c r="G126" i="2"/>
  <c r="G254" i="2"/>
  <c r="G241" i="2"/>
  <c r="G220" i="2"/>
  <c r="G247" i="2"/>
  <c r="G69" i="2"/>
  <c r="G88" i="2"/>
  <c r="G91" i="2"/>
  <c r="G35" i="2"/>
  <c r="G54" i="2"/>
  <c r="G31" i="2"/>
  <c r="G55" i="2"/>
  <c r="G45" i="2"/>
  <c r="G110" i="2"/>
  <c r="G174" i="2"/>
  <c r="G238" i="2"/>
  <c r="G97" i="2"/>
  <c r="G161" i="2"/>
  <c r="G225" i="2"/>
  <c r="G76" i="2"/>
  <c r="G140" i="2"/>
  <c r="G204" i="2"/>
  <c r="G139" i="2"/>
  <c r="G103" i="2"/>
  <c r="G167" i="2"/>
  <c r="G231" i="2"/>
  <c r="G82" i="2"/>
  <c r="G146" i="2"/>
  <c r="G210" i="2"/>
  <c r="G163" i="2"/>
  <c r="G117" i="2"/>
  <c r="G181" i="2"/>
  <c r="G245" i="2"/>
  <c r="G72" i="2"/>
  <c r="G136" i="2"/>
  <c r="G200" i="2"/>
  <c r="G75" i="2"/>
  <c r="G233" i="2"/>
  <c r="G90" i="2"/>
  <c r="G125" i="2"/>
  <c r="G80" i="2"/>
  <c r="G83" i="2"/>
  <c r="G24" i="2"/>
  <c r="G61" i="2"/>
  <c r="G113" i="2"/>
  <c r="G156" i="2"/>
  <c r="G119" i="2"/>
  <c r="G98" i="2"/>
  <c r="G133" i="2"/>
  <c r="G152" i="2"/>
  <c r="G107" i="2"/>
  <c r="G21" i="2"/>
  <c r="G20" i="2"/>
  <c r="G19" i="2"/>
  <c r="G18" i="2"/>
  <c r="O16" i="21"/>
  <c r="J11" i="22"/>
  <c r="F17" i="18"/>
  <c r="F18" i="18"/>
  <c r="I18" i="18" s="1"/>
  <c r="F19" i="18"/>
  <c r="I19" i="18" s="1"/>
  <c r="F20" i="18"/>
  <c r="F21" i="18"/>
  <c r="I21" i="18" s="1"/>
  <c r="F43" i="22"/>
  <c r="F41" i="22"/>
  <c r="F16" i="18"/>
  <c r="I16" i="18" s="1"/>
  <c r="C17" i="18"/>
  <c r="C18" i="18"/>
  <c r="E18" i="18" s="1"/>
  <c r="C19" i="18"/>
  <c r="E19" i="18" s="1"/>
  <c r="C20" i="18"/>
  <c r="E20" i="18" s="1"/>
  <c r="C21" i="18"/>
  <c r="C16" i="18"/>
  <c r="N15" i="21"/>
  <c r="D50" i="22"/>
  <c r="D14" i="22"/>
  <c r="J14" i="22" s="1"/>
  <c r="F49" i="22"/>
  <c r="J58" i="7"/>
  <c r="S58" i="7"/>
  <c r="D28" i="22" s="1"/>
  <c r="U17" i="7"/>
  <c r="Q17" i="7"/>
  <c r="A16" i="21"/>
  <c r="A17" i="7"/>
  <c r="AB17" i="7" s="1"/>
  <c r="AC17" i="7" s="1"/>
  <c r="C16" i="7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G49" i="1"/>
  <c r="B2" i="22"/>
  <c r="I58" i="7"/>
  <c r="C7" i="5"/>
  <c r="K17" i="22"/>
  <c r="T58" i="7"/>
  <c r="D29" i="22" s="1"/>
  <c r="J29" i="22" s="1"/>
  <c r="P58" i="7"/>
  <c r="D23" i="22" s="1"/>
  <c r="J23" i="22" s="1"/>
  <c r="O58" i="7"/>
  <c r="D22" i="22" s="1"/>
  <c r="L21" i="22"/>
  <c r="K11" i="22"/>
  <c r="H323" i="10"/>
  <c r="I33" i="22"/>
  <c r="L32" i="22"/>
  <c r="K32" i="22"/>
  <c r="J31" i="22"/>
  <c r="K31" i="22"/>
  <c r="L31" i="22"/>
  <c r="J30" i="22"/>
  <c r="K30" i="22"/>
  <c r="L30" i="22"/>
  <c r="L29" i="22"/>
  <c r="L28" i="22"/>
  <c r="K28" i="22"/>
  <c r="L23" i="22"/>
  <c r="K23" i="22"/>
  <c r="L22" i="22"/>
  <c r="K22" i="22"/>
  <c r="L20" i="22"/>
  <c r="L19" i="22"/>
  <c r="L18" i="22"/>
  <c r="L17" i="22"/>
  <c r="L16" i="22"/>
  <c r="L15" i="22"/>
  <c r="K15" i="22"/>
  <c r="J15" i="22"/>
  <c r="L14" i="22"/>
  <c r="K14" i="22"/>
  <c r="L13" i="22"/>
  <c r="K13" i="22"/>
  <c r="J13" i="22"/>
  <c r="L12" i="22"/>
  <c r="K12" i="22"/>
  <c r="J12" i="22"/>
  <c r="I27" i="22"/>
  <c r="L27" i="22" s="1"/>
  <c r="O7" i="7"/>
  <c r="O7" i="24" s="1"/>
  <c r="O5" i="7"/>
  <c r="O5" i="24" s="1"/>
  <c r="K5" i="22"/>
  <c r="K3" i="22"/>
  <c r="J5" i="22"/>
  <c r="J3" i="22"/>
  <c r="B4" i="22"/>
  <c r="H321" i="10"/>
  <c r="F321" i="10"/>
  <c r="C3" i="5"/>
  <c r="C3" i="2"/>
  <c r="C3" i="4"/>
  <c r="I5" i="21"/>
  <c r="B5" i="21"/>
  <c r="G5" i="10"/>
  <c r="A5" i="10"/>
  <c r="E5" i="18"/>
  <c r="A5" i="18"/>
  <c r="J5" i="9"/>
  <c r="A5" i="9"/>
  <c r="F5" i="4"/>
  <c r="E7" i="7"/>
  <c r="E7" i="24" s="1"/>
  <c r="A5" i="4"/>
  <c r="D43" i="6"/>
  <c r="F10" i="6"/>
  <c r="B10" i="6"/>
  <c r="F5" i="5"/>
  <c r="A5" i="5"/>
  <c r="F5" i="2"/>
  <c r="A5" i="2"/>
  <c r="I7" i="21"/>
  <c r="E7" i="21"/>
  <c r="D3" i="21"/>
  <c r="D12" i="6"/>
  <c r="E7" i="9"/>
  <c r="C7" i="18" s="1"/>
  <c r="C7" i="2"/>
  <c r="C7" i="4"/>
  <c r="J7" i="9"/>
  <c r="G7" i="10"/>
  <c r="E7" i="18"/>
  <c r="F12" i="6"/>
  <c r="F7" i="2"/>
  <c r="F7" i="5" s="1"/>
  <c r="F7" i="4"/>
  <c r="D7" i="10"/>
  <c r="C3" i="10"/>
  <c r="D8" i="6"/>
  <c r="E3" i="7"/>
  <c r="E3" i="24" s="1"/>
  <c r="E3" i="9"/>
  <c r="C3" i="18"/>
  <c r="P24" i="6"/>
  <c r="K29" i="22"/>
  <c r="K20" i="22"/>
  <c r="G58" i="7"/>
  <c r="H58" i="7"/>
  <c r="K21" i="22"/>
  <c r="K27" i="22"/>
  <c r="L11" i="22"/>
  <c r="K16" i="22"/>
  <c r="K19" i="22"/>
  <c r="K18" i="22"/>
  <c r="H20" i="18" l="1"/>
  <c r="I20" i="18" s="1"/>
  <c r="F39" i="22" s="1"/>
  <c r="O16" i="7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I17" i="18"/>
  <c r="AA17" i="7"/>
  <c r="P16" i="21"/>
  <c r="P57" i="21" s="1"/>
  <c r="R16" i="21"/>
  <c r="F30" i="7"/>
  <c r="F33" i="7"/>
  <c r="F45" i="7"/>
  <c r="F25" i="7"/>
  <c r="F53" i="7"/>
  <c r="F52" i="7"/>
  <c r="F34" i="7"/>
  <c r="F40" i="7"/>
  <c r="F26" i="7"/>
  <c r="F32" i="7"/>
  <c r="F28" i="7"/>
  <c r="F41" i="7"/>
  <c r="F44" i="7"/>
  <c r="F37" i="7"/>
  <c r="F43" i="7"/>
  <c r="F29" i="7"/>
  <c r="F35" i="7"/>
  <c r="F46" i="7"/>
  <c r="F49" i="7"/>
  <c r="F38" i="7"/>
  <c r="F27" i="7"/>
  <c r="F55" i="7"/>
  <c r="F23" i="7"/>
  <c r="F42" i="7"/>
  <c r="F47" i="7"/>
  <c r="F54" i="7"/>
  <c r="F31" i="7"/>
  <c r="F36" i="7"/>
  <c r="F56" i="7"/>
  <c r="F39" i="7"/>
  <c r="F48" i="7"/>
  <c r="F50" i="7"/>
  <c r="F24" i="7"/>
  <c r="F51" i="7"/>
  <c r="F21" i="7"/>
  <c r="F22" i="7"/>
  <c r="B5" i="7"/>
  <c r="B5" i="24" s="1"/>
  <c r="F18" i="7"/>
  <c r="F20" i="7"/>
  <c r="F19" i="7"/>
  <c r="M31" i="22"/>
  <c r="E50" i="22"/>
  <c r="F50" i="22" s="1"/>
  <c r="F17" i="7"/>
  <c r="K17" i="7" s="1"/>
  <c r="M23" i="22"/>
  <c r="D41" i="22"/>
  <c r="E16" i="18"/>
  <c r="D40" i="22"/>
  <c r="E17" i="18"/>
  <c r="L33" i="22"/>
  <c r="M15" i="22"/>
  <c r="M14" i="22"/>
  <c r="K33" i="22"/>
  <c r="X17" i="7"/>
  <c r="M29" i="22"/>
  <c r="E21" i="18"/>
  <c r="D42" i="22"/>
  <c r="D43" i="22"/>
  <c r="F40" i="22"/>
  <c r="M12" i="22"/>
  <c r="M13" i="22"/>
  <c r="M30" i="22"/>
  <c r="M11" i="22"/>
  <c r="U58" i="7"/>
  <c r="F42" i="22"/>
  <c r="O57" i="21"/>
  <c r="O62" i="21" s="1"/>
  <c r="Q58" i="7"/>
  <c r="J28" i="22"/>
  <c r="D27" i="22"/>
  <c r="J22" i="22"/>
  <c r="M22" i="22" s="1"/>
  <c r="D21" i="22"/>
  <c r="G37" i="22"/>
  <c r="F38" i="22" l="1"/>
  <c r="I35" i="18"/>
  <c r="H35" i="6" s="1"/>
  <c r="M49" i="7"/>
  <c r="K49" i="7"/>
  <c r="K50" i="7"/>
  <c r="M50" i="7"/>
  <c r="K42" i="7"/>
  <c r="M42" i="7"/>
  <c r="K29" i="7"/>
  <c r="M29" i="7"/>
  <c r="K40" i="7"/>
  <c r="M40" i="7"/>
  <c r="K23" i="7"/>
  <c r="M23" i="7"/>
  <c r="K43" i="7"/>
  <c r="M43" i="7"/>
  <c r="K34" i="7"/>
  <c r="M34" i="7"/>
  <c r="K48" i="7"/>
  <c r="M48" i="7"/>
  <c r="K39" i="7"/>
  <c r="M39" i="7"/>
  <c r="K55" i="7"/>
  <c r="M55" i="7"/>
  <c r="M37" i="7"/>
  <c r="K37" i="7"/>
  <c r="K52" i="7"/>
  <c r="M52" i="7"/>
  <c r="K56" i="7"/>
  <c r="M56" i="7"/>
  <c r="K27" i="7"/>
  <c r="M27" i="7"/>
  <c r="K44" i="7"/>
  <c r="M44" i="7"/>
  <c r="K53" i="7"/>
  <c r="M53" i="7"/>
  <c r="K22" i="7"/>
  <c r="M22" i="7"/>
  <c r="K36" i="7"/>
  <c r="M36" i="7"/>
  <c r="M38" i="7"/>
  <c r="K38" i="7"/>
  <c r="K41" i="7"/>
  <c r="M41" i="7"/>
  <c r="M25" i="7"/>
  <c r="K25" i="7"/>
  <c r="K21" i="7"/>
  <c r="M21" i="7"/>
  <c r="M31" i="7"/>
  <c r="K31" i="7"/>
  <c r="K45" i="7"/>
  <c r="M45" i="7"/>
  <c r="K51" i="7"/>
  <c r="M51" i="7"/>
  <c r="K54" i="7"/>
  <c r="M54" i="7"/>
  <c r="K46" i="7"/>
  <c r="M46" i="7"/>
  <c r="M32" i="7"/>
  <c r="K32" i="7"/>
  <c r="M33" i="7"/>
  <c r="K33" i="7"/>
  <c r="K28" i="7"/>
  <c r="M28" i="7"/>
  <c r="K24" i="7"/>
  <c r="M24" i="7"/>
  <c r="M47" i="7"/>
  <c r="K47" i="7"/>
  <c r="M35" i="7"/>
  <c r="K35" i="7"/>
  <c r="K26" i="7"/>
  <c r="M26" i="7"/>
  <c r="K30" i="7"/>
  <c r="M30" i="7"/>
  <c r="H67" i="7"/>
  <c r="I67" i="7"/>
  <c r="K20" i="7"/>
  <c r="M20" i="7"/>
  <c r="K19" i="7"/>
  <c r="M19" i="7"/>
  <c r="M18" i="7"/>
  <c r="K18" i="7"/>
  <c r="F48" i="22"/>
  <c r="G16" i="2"/>
  <c r="G17" i="2"/>
  <c r="D38" i="22"/>
  <c r="M17" i="7"/>
  <c r="E35" i="18"/>
  <c r="D37" i="22" s="1"/>
  <c r="D39" i="22"/>
  <c r="X58" i="7"/>
  <c r="F58" i="7"/>
  <c r="D16" i="22" s="1"/>
  <c r="J16" i="22" s="1"/>
  <c r="M16" i="22" s="1"/>
  <c r="J27" i="22"/>
  <c r="M27" i="22" s="1"/>
  <c r="D58" i="22"/>
  <c r="E58" i="22" s="1"/>
  <c r="F58" i="22" s="1"/>
  <c r="G43" i="22"/>
  <c r="H43" i="22" s="1"/>
  <c r="G40" i="22"/>
  <c r="H40" i="22" s="1"/>
  <c r="G42" i="22"/>
  <c r="H42" i="22" s="1"/>
  <c r="G39" i="22"/>
  <c r="H39" i="22" s="1"/>
  <c r="G38" i="22"/>
  <c r="G41" i="22"/>
  <c r="H41" i="22" s="1"/>
  <c r="J21" i="22"/>
  <c r="M21" i="22" s="1"/>
  <c r="D56" i="22"/>
  <c r="E56" i="22" s="1"/>
  <c r="F56" i="22" s="1"/>
  <c r="M28" i="22"/>
  <c r="F37" i="22" l="1"/>
  <c r="H37" i="22" s="1"/>
  <c r="H38" i="22"/>
  <c r="R24" i="7"/>
  <c r="N24" i="7"/>
  <c r="W24" i="7" s="1"/>
  <c r="V24" i="7"/>
  <c r="R44" i="7"/>
  <c r="N44" i="7"/>
  <c r="W44" i="7" s="1"/>
  <c r="V44" i="7"/>
  <c r="N34" i="7"/>
  <c r="W34" i="7" s="1"/>
  <c r="V34" i="7"/>
  <c r="R34" i="7"/>
  <c r="R29" i="7"/>
  <c r="V29" i="7"/>
  <c r="N29" i="7"/>
  <c r="W29" i="7" s="1"/>
  <c r="N31" i="7"/>
  <c r="W31" i="7" s="1"/>
  <c r="R31" i="7"/>
  <c r="V31" i="7"/>
  <c r="R30" i="7"/>
  <c r="V30" i="7"/>
  <c r="N30" i="7"/>
  <c r="W30" i="7" s="1"/>
  <c r="R46" i="7"/>
  <c r="V46" i="7"/>
  <c r="N46" i="7"/>
  <c r="W46" i="7" s="1"/>
  <c r="R37" i="7"/>
  <c r="V37" i="7"/>
  <c r="N37" i="7"/>
  <c r="W37" i="7" s="1"/>
  <c r="N54" i="7"/>
  <c r="W54" i="7" s="1"/>
  <c r="V54" i="7"/>
  <c r="R54" i="7"/>
  <c r="N27" i="7"/>
  <c r="W27" i="7" s="1"/>
  <c r="R27" i="7"/>
  <c r="V27" i="7"/>
  <c r="N55" i="7"/>
  <c r="W55" i="7" s="1"/>
  <c r="R55" i="7"/>
  <c r="V55" i="7"/>
  <c r="N43" i="7"/>
  <c r="W43" i="7" s="1"/>
  <c r="R43" i="7"/>
  <c r="V43" i="7"/>
  <c r="R42" i="7"/>
  <c r="V42" i="7"/>
  <c r="N42" i="7"/>
  <c r="W42" i="7" s="1"/>
  <c r="R28" i="7"/>
  <c r="N28" i="7"/>
  <c r="W28" i="7" s="1"/>
  <c r="V28" i="7"/>
  <c r="R35" i="7"/>
  <c r="V35" i="7"/>
  <c r="N35" i="7"/>
  <c r="W35" i="7" s="1"/>
  <c r="V33" i="7"/>
  <c r="N33" i="7"/>
  <c r="W33" i="7" s="1"/>
  <c r="R33" i="7"/>
  <c r="N25" i="7"/>
  <c r="W25" i="7" s="1"/>
  <c r="V25" i="7"/>
  <c r="R25" i="7"/>
  <c r="N38" i="7"/>
  <c r="W38" i="7" s="1"/>
  <c r="R38" i="7"/>
  <c r="V38" i="7"/>
  <c r="R36" i="7"/>
  <c r="V36" i="7"/>
  <c r="N36" i="7"/>
  <c r="W36" i="7" s="1"/>
  <c r="N51" i="7"/>
  <c r="W51" i="7" s="1"/>
  <c r="R51" i="7"/>
  <c r="V51" i="7"/>
  <c r="R22" i="7"/>
  <c r="N22" i="7"/>
  <c r="W22" i="7" s="1"/>
  <c r="V22" i="7"/>
  <c r="N56" i="7"/>
  <c r="W56" i="7" s="1"/>
  <c r="V56" i="7"/>
  <c r="R56" i="7"/>
  <c r="N39" i="7"/>
  <c r="W39" i="7" s="1"/>
  <c r="R39" i="7"/>
  <c r="V39" i="7"/>
  <c r="V23" i="7"/>
  <c r="R23" i="7"/>
  <c r="N23" i="7"/>
  <c r="W23" i="7" s="1"/>
  <c r="N50" i="7"/>
  <c r="W50" i="7" s="1"/>
  <c r="R50" i="7"/>
  <c r="V50" i="7"/>
  <c r="N26" i="7"/>
  <c r="W26" i="7" s="1"/>
  <c r="R26" i="7"/>
  <c r="V26" i="7"/>
  <c r="N21" i="7"/>
  <c r="W21" i="7" s="1"/>
  <c r="R21" i="7"/>
  <c r="V21" i="7"/>
  <c r="N47" i="7"/>
  <c r="W47" i="7" s="1"/>
  <c r="V47" i="7"/>
  <c r="R47" i="7"/>
  <c r="V32" i="7"/>
  <c r="R32" i="7"/>
  <c r="N32" i="7"/>
  <c r="W32" i="7" s="1"/>
  <c r="N49" i="7"/>
  <c r="W49" i="7" s="1"/>
  <c r="R49" i="7"/>
  <c r="V49" i="7"/>
  <c r="R45" i="7"/>
  <c r="N45" i="7"/>
  <c r="W45" i="7" s="1"/>
  <c r="V45" i="7"/>
  <c r="N41" i="7"/>
  <c r="W41" i="7" s="1"/>
  <c r="V41" i="7"/>
  <c r="R41" i="7"/>
  <c r="R53" i="7"/>
  <c r="N53" i="7"/>
  <c r="W53" i="7" s="1"/>
  <c r="V53" i="7"/>
  <c r="V52" i="7"/>
  <c r="R52" i="7"/>
  <c r="N52" i="7"/>
  <c r="W52" i="7" s="1"/>
  <c r="N48" i="7"/>
  <c r="W48" i="7" s="1"/>
  <c r="R48" i="7"/>
  <c r="V48" i="7"/>
  <c r="N40" i="7"/>
  <c r="W40" i="7" s="1"/>
  <c r="V40" i="7"/>
  <c r="R40" i="7"/>
  <c r="N18" i="7"/>
  <c r="W18" i="7" s="1"/>
  <c r="R18" i="7"/>
  <c r="V18" i="7"/>
  <c r="N19" i="7"/>
  <c r="W19" i="7" s="1"/>
  <c r="R19" i="7"/>
  <c r="V19" i="7"/>
  <c r="N20" i="7"/>
  <c r="W20" i="7" s="1"/>
  <c r="V20" i="7"/>
  <c r="R20" i="7"/>
  <c r="M58" i="7"/>
  <c r="D318" i="10" s="1"/>
  <c r="D321" i="10" l="1"/>
  <c r="D17" i="6"/>
  <c r="F23" i="6" s="1"/>
  <c r="D18" i="22"/>
  <c r="J18" i="22" s="1"/>
  <c r="M18" i="22" s="1"/>
  <c r="F29" i="6" l="1"/>
  <c r="J29" i="6"/>
  <c r="J25" i="6"/>
  <c r="H13" i="1" l="1"/>
  <c r="Z17" i="7"/>
  <c r="Z58" i="7" s="1"/>
  <c r="Y58" i="7"/>
  <c r="K58" i="7"/>
  <c r="V17" i="7"/>
  <c r="C29" i="6" l="1"/>
  <c r="H29" i="6" s="1"/>
  <c r="D20" i="22"/>
  <c r="J20" i="22" s="1"/>
  <c r="M20" i="22" s="1"/>
  <c r="V58" i="7"/>
  <c r="R58" i="7"/>
  <c r="D17" i="22"/>
  <c r="R17" i="7"/>
  <c r="N17" i="7"/>
  <c r="W17" i="7" l="1"/>
  <c r="N58" i="7"/>
  <c r="E318" i="10" s="1"/>
  <c r="D57" i="22"/>
  <c r="E57" i="22" s="1"/>
  <c r="F57" i="22" s="1"/>
  <c r="D59" i="22"/>
  <c r="E59" i="22" s="1"/>
  <c r="F59" i="22" s="1"/>
  <c r="J17" i="22"/>
  <c r="M17" i="22" s="1"/>
  <c r="W58" i="7" l="1"/>
  <c r="E321" i="10"/>
  <c r="I66" i="7"/>
  <c r="D19" i="22"/>
  <c r="M61" i="7"/>
  <c r="C23" i="6"/>
  <c r="H23" i="6" s="1"/>
  <c r="H25" i="6" s="1"/>
  <c r="H39" i="6" s="1"/>
  <c r="D335" i="2" s="1"/>
  <c r="F335" i="2" s="1"/>
  <c r="F333" i="2" l="1"/>
  <c r="F334" i="2"/>
  <c r="G335" i="2" s="1"/>
  <c r="F331" i="2"/>
  <c r="F332" i="2"/>
  <c r="F329" i="2"/>
  <c r="F330" i="2"/>
  <c r="F327" i="2"/>
  <c r="F328" i="2"/>
  <c r="F325" i="2"/>
  <c r="F326" i="2"/>
  <c r="F323" i="2"/>
  <c r="F324" i="2"/>
  <c r="F321" i="2"/>
  <c r="F322" i="2"/>
  <c r="F319" i="2"/>
  <c r="F320" i="2"/>
  <c r="F317" i="2"/>
  <c r="F318" i="2"/>
  <c r="F315" i="2"/>
  <c r="F316" i="2"/>
  <c r="F313" i="2"/>
  <c r="F314" i="2"/>
  <c r="F312" i="2"/>
  <c r="F310" i="2"/>
  <c r="F311" i="2"/>
  <c r="F308" i="2"/>
  <c r="F309" i="2"/>
  <c r="F306" i="2"/>
  <c r="F307" i="2"/>
  <c r="F304" i="2"/>
  <c r="F305" i="2"/>
  <c r="F302" i="2"/>
  <c r="F303" i="2"/>
  <c r="F300" i="2"/>
  <c r="F301" i="2"/>
  <c r="F298" i="2"/>
  <c r="F299" i="2"/>
  <c r="F296" i="2"/>
  <c r="F297" i="2"/>
  <c r="F294" i="2"/>
  <c r="F295" i="2"/>
  <c r="F291" i="2"/>
  <c r="F292" i="2"/>
  <c r="F289" i="2"/>
  <c r="F290" i="2"/>
  <c r="F287" i="2"/>
  <c r="F288" i="2"/>
  <c r="F285" i="2"/>
  <c r="F286" i="2"/>
  <c r="F283" i="2"/>
  <c r="F284" i="2"/>
  <c r="F281" i="2"/>
  <c r="F282" i="2"/>
  <c r="F279" i="2"/>
  <c r="F280" i="2"/>
  <c r="F278" i="2"/>
  <c r="F275" i="2"/>
  <c r="D51" i="22"/>
  <c r="E51" i="22" s="1"/>
  <c r="F51" i="22" s="1"/>
  <c r="J19" i="22"/>
  <c r="M19" i="22" s="1"/>
  <c r="D55" i="22"/>
  <c r="E55" i="22" s="1"/>
  <c r="F55" i="22" s="1"/>
  <c r="G334" i="2" l="1"/>
  <c r="G333" i="2"/>
  <c r="G332" i="2"/>
  <c r="G331" i="2"/>
  <c r="G330" i="2"/>
  <c r="G329" i="2"/>
  <c r="G328" i="2"/>
  <c r="G327" i="2"/>
  <c r="G326" i="2"/>
  <c r="G325" i="2"/>
  <c r="G324" i="2"/>
  <c r="G323" i="2"/>
  <c r="G322" i="2"/>
  <c r="G320" i="2"/>
  <c r="G312" i="2"/>
  <c r="G321" i="2"/>
  <c r="G319" i="2"/>
  <c r="G316" i="2"/>
  <c r="G317" i="2"/>
  <c r="G318" i="2"/>
  <c r="G315" i="2"/>
  <c r="G314" i="2"/>
  <c r="G313" i="2"/>
  <c r="G311" i="2"/>
  <c r="G310" i="2"/>
  <c r="G309" i="2"/>
  <c r="G337" i="2"/>
  <c r="H11" i="1" s="1"/>
  <c r="H15" i="1" s="1"/>
  <c r="D336" i="4" s="1"/>
  <c r="H336" i="4" s="1"/>
  <c r="G318" i="10" s="1"/>
  <c r="G308" i="2"/>
  <c r="G307" i="2"/>
  <c r="G306" i="2"/>
  <c r="G305" i="2"/>
  <c r="G304" i="2"/>
  <c r="G302" i="2"/>
  <c r="G303" i="2"/>
  <c r="G301" i="2"/>
  <c r="G300" i="2"/>
  <c r="G296" i="2"/>
  <c r="G299" i="2"/>
  <c r="G298" i="2"/>
  <c r="G297" i="2"/>
  <c r="G295" i="2"/>
  <c r="G292" i="2"/>
  <c r="G294" i="2"/>
  <c r="G285" i="2"/>
  <c r="G293" i="2"/>
  <c r="G291" i="2"/>
  <c r="G290" i="2"/>
  <c r="G289" i="2"/>
  <c r="G288" i="2"/>
  <c r="G287" i="2"/>
  <c r="G286" i="2"/>
  <c r="G278" i="2"/>
  <c r="G283" i="2"/>
  <c r="G284" i="2"/>
  <c r="G280" i="2"/>
  <c r="G282" i="2"/>
  <c r="G279" i="2"/>
  <c r="G281" i="2"/>
  <c r="G276" i="2"/>
  <c r="G275" i="2"/>
  <c r="G277" i="2"/>
  <c r="H335" i="4" l="1"/>
  <c r="G317" i="10" s="1"/>
  <c r="H59" i="1"/>
  <c r="D32" i="22"/>
  <c r="D33" i="22" s="1"/>
  <c r="H333" i="4" l="1"/>
  <c r="G315" i="10" s="1"/>
  <c r="H334" i="4"/>
  <c r="G316" i="10" s="1"/>
  <c r="D54" i="22"/>
  <c r="E54" i="22" s="1"/>
  <c r="F54" i="22" s="1"/>
  <c r="J32" i="22"/>
  <c r="J33" i="22" s="1"/>
  <c r="M33" i="22" s="1"/>
  <c r="D52" i="22"/>
  <c r="E52" i="22" s="1"/>
  <c r="F52" i="22" s="1"/>
  <c r="D53" i="22"/>
  <c r="E53" i="22" s="1"/>
  <c r="F53" i="22" s="1"/>
  <c r="H331" i="4"/>
  <c r="G313" i="10" s="1"/>
  <c r="H332" i="4"/>
  <c r="G314" i="10" s="1"/>
  <c r="H329" i="4"/>
  <c r="G311" i="10" s="1"/>
  <c r="H330" i="4"/>
  <c r="G312" i="10" s="1"/>
  <c r="H327" i="4"/>
  <c r="G309" i="10" s="1"/>
  <c r="H328" i="4"/>
  <c r="G310" i="10" s="1"/>
  <c r="H325" i="4"/>
  <c r="G307" i="10" s="1"/>
  <c r="H326" i="4"/>
  <c r="G308" i="10" s="1"/>
  <c r="H323" i="4"/>
  <c r="G305" i="10" s="1"/>
  <c r="H324" i="4"/>
  <c r="G306" i="10" s="1"/>
  <c r="H321" i="4"/>
  <c r="G303" i="10" s="1"/>
  <c r="H322" i="4"/>
  <c r="G304" i="10" s="1"/>
  <c r="H319" i="4"/>
  <c r="G301" i="10" s="1"/>
  <c r="H320" i="4"/>
  <c r="G302" i="10" s="1"/>
  <c r="H317" i="4"/>
  <c r="G299" i="10" s="1"/>
  <c r="H318" i="4"/>
  <c r="G300" i="10" s="1"/>
  <c r="H315" i="4"/>
  <c r="G297" i="10" s="1"/>
  <c r="H316" i="4"/>
  <c r="G298" i="10" s="1"/>
  <c r="H313" i="4"/>
  <c r="G295" i="10" s="1"/>
  <c r="H314" i="4"/>
  <c r="G296" i="10" s="1"/>
  <c r="H311" i="4"/>
  <c r="G293" i="10" s="1"/>
  <c r="H312" i="4"/>
  <c r="G294" i="10" s="1"/>
  <c r="H309" i="4"/>
  <c r="G291" i="10" s="1"/>
  <c r="H310" i="4"/>
  <c r="G292" i="10" s="1"/>
  <c r="H307" i="4"/>
  <c r="G289" i="10" s="1"/>
  <c r="H308" i="4"/>
  <c r="G290" i="10" s="1"/>
  <c r="H305" i="4"/>
  <c r="G287" i="10" s="1"/>
  <c r="H306" i="4"/>
  <c r="G288" i="10" s="1"/>
  <c r="H303" i="4"/>
  <c r="G285" i="10" s="1"/>
  <c r="H304" i="4"/>
  <c r="G286" i="10" s="1"/>
  <c r="H301" i="4"/>
  <c r="G283" i="10" s="1"/>
  <c r="H302" i="4"/>
  <c r="G284" i="10" s="1"/>
  <c r="H299" i="4"/>
  <c r="G281" i="10" s="1"/>
  <c r="H300" i="4"/>
  <c r="G282" i="10" s="1"/>
  <c r="H297" i="4"/>
  <c r="G279" i="10" s="1"/>
  <c r="H298" i="4"/>
  <c r="G280" i="10" s="1"/>
  <c r="H295" i="4"/>
  <c r="G277" i="10" s="1"/>
  <c r="H296" i="4"/>
  <c r="G278" i="10" s="1"/>
  <c r="H293" i="4"/>
  <c r="G275" i="10" s="1"/>
  <c r="H294" i="4"/>
  <c r="G276" i="10" s="1"/>
  <c r="H291" i="4"/>
  <c r="G273" i="10" s="1"/>
  <c r="H292" i="4"/>
  <c r="G274" i="10" s="1"/>
  <c r="H289" i="4"/>
  <c r="G271" i="10" s="1"/>
  <c r="H290" i="4"/>
  <c r="G272" i="10" s="1"/>
  <c r="G269" i="10"/>
  <c r="H288" i="4"/>
  <c r="G270" i="10" s="1"/>
  <c r="H285" i="4"/>
  <c r="G267" i="10" s="1"/>
  <c r="H286" i="4"/>
  <c r="G268" i="10" s="1"/>
  <c r="H283" i="4"/>
  <c r="G265" i="10" s="1"/>
  <c r="H284" i="4"/>
  <c r="G266" i="10" s="1"/>
  <c r="H281" i="4"/>
  <c r="G263" i="10" s="1"/>
  <c r="H282" i="4"/>
  <c r="G264" i="10" s="1"/>
  <c r="H279" i="4"/>
  <c r="G261" i="10" s="1"/>
  <c r="H280" i="4"/>
  <c r="G262" i="10" s="1"/>
  <c r="H277" i="4"/>
  <c r="G259" i="10" s="1"/>
  <c r="H278" i="4"/>
  <c r="G260" i="10" s="1"/>
  <c r="M32" i="22" l="1"/>
  <c r="G32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<sst xmlns="http://schemas.openxmlformats.org/spreadsheetml/2006/main" count="2662" uniqueCount="454">
  <si>
    <t>PUBLIC TRANSPORT :</t>
  </si>
  <si>
    <t>FORM  A</t>
  </si>
  <si>
    <t>OPERATOR :</t>
  </si>
  <si>
    <t xml:space="preserve">PAYMENT CERTIFICATE NO.:      </t>
  </si>
  <si>
    <t>FOR MONTH :</t>
  </si>
  <si>
    <t>SUBTOTAL</t>
  </si>
  <si>
    <t>TOTAL AMOUNT DUE</t>
  </si>
  <si>
    <t>………………………………..</t>
  </si>
  <si>
    <t>DATE</t>
  </si>
  <si>
    <t>CERTIFIED : DEPARTMENT OF TRANSPORT</t>
  </si>
  <si>
    <t>PAYMENT OF</t>
  </si>
  <si>
    <t xml:space="preserve">  R.............................………</t>
  </si>
  <si>
    <t>APPROVED BY</t>
  </si>
  <si>
    <t>………………………………………………………………….</t>
  </si>
  <si>
    <t>DEPARTMENT OF TRANSPORT</t>
  </si>
  <si>
    <t>Month</t>
  </si>
  <si>
    <t>Year</t>
  </si>
  <si>
    <t>Cert</t>
  </si>
  <si>
    <t>Accumulated</t>
  </si>
  <si>
    <t>value</t>
  </si>
  <si>
    <t>1</t>
  </si>
  <si>
    <t>FORM  C</t>
  </si>
  <si>
    <t>Amount for</t>
  </si>
  <si>
    <t>Escalated</t>
  </si>
  <si>
    <t>Escalation</t>
  </si>
  <si>
    <t>Amount</t>
  </si>
  <si>
    <t>Total</t>
  </si>
  <si>
    <t>FORM  D</t>
  </si>
  <si>
    <t>REQUEST FOR MONTHLY PAYMENT</t>
  </si>
  <si>
    <t>FORM  E</t>
  </si>
  <si>
    <t>The Representative</t>
  </si>
  <si>
    <t xml:space="preserve">For Attention : </t>
  </si>
  <si>
    <t xml:space="preserve">PAYMENT CERTIFICATE NO.:     </t>
  </si>
  <si>
    <t xml:space="preserve">Total scheduled revenue kms = </t>
  </si>
  <si>
    <t>The total non-escalated amount claimed for this month is made up as follows :</t>
  </si>
  <si>
    <t>A.   Bus</t>
  </si>
  <si>
    <t xml:space="preserve">         =</t>
  </si>
  <si>
    <t xml:space="preserve"> </t>
  </si>
  <si>
    <t xml:space="preserve">Less non-refundable penalties imposed for not operating in accordance with </t>
  </si>
  <si>
    <t>the contract specifications :</t>
  </si>
  <si>
    <t>Signature</t>
  </si>
  <si>
    <t>Approval of claim by Representative</t>
  </si>
  <si>
    <t>Date</t>
  </si>
  <si>
    <t>ROUTE</t>
  </si>
  <si>
    <t>TRIPS</t>
  </si>
  <si>
    <t>Route</t>
  </si>
  <si>
    <t>KILOMETRES</t>
  </si>
  <si>
    <t>PASSENGERS</t>
  </si>
  <si>
    <t xml:space="preserve">STANDING </t>
  </si>
  <si>
    <t>Length</t>
  </si>
  <si>
    <t>Avg</t>
  </si>
  <si>
    <t>No</t>
  </si>
  <si>
    <t>From</t>
  </si>
  <si>
    <t>To</t>
  </si>
  <si>
    <t>Scheduled</t>
  </si>
  <si>
    <t>DNOs</t>
  </si>
  <si>
    <t>Operated</t>
  </si>
  <si>
    <t>Cash</t>
  </si>
  <si>
    <t>Season</t>
  </si>
  <si>
    <t>Trips</t>
  </si>
  <si>
    <t>Kilometes</t>
  </si>
  <si>
    <t>`</t>
  </si>
  <si>
    <t>TOTALS TO FORM E</t>
  </si>
  <si>
    <t>Bus</t>
  </si>
  <si>
    <t>Place</t>
  </si>
  <si>
    <t>Penalty</t>
  </si>
  <si>
    <t>*</t>
  </si>
  <si>
    <t>FORM  H</t>
  </si>
  <si>
    <t>Budgeted</t>
  </si>
  <si>
    <t>TOTAL</t>
  </si>
  <si>
    <t>NOTE :</t>
  </si>
  <si>
    <t>Estimate will be updated and amended monthly.</t>
  </si>
  <si>
    <t>TOTAL carried to Form C (Col 4)  for escalation</t>
  </si>
  <si>
    <t>FORM B</t>
  </si>
  <si>
    <t>Certificate</t>
  </si>
  <si>
    <t>number</t>
  </si>
  <si>
    <t>Factor *</t>
  </si>
  <si>
    <t>ESCALATED MONTHLY CERTIFICATE</t>
  </si>
  <si>
    <t>RECORD OF PAYMENTS</t>
  </si>
  <si>
    <t>……………………………………………………………………………………………………</t>
  </si>
  <si>
    <t>…………………………………………………………………………………………………..</t>
  </si>
  <si>
    <t>BUDGET CONTRACT EXPENDITURE FORM</t>
  </si>
  <si>
    <t>Left justified factors are provisional figures, pending the availability of official indices.</t>
  </si>
  <si>
    <t>Estimated total for the financial year</t>
  </si>
  <si>
    <t>Monthly Subsidy</t>
  </si>
  <si>
    <t>no.</t>
  </si>
  <si>
    <t>No.</t>
  </si>
  <si>
    <t>Kilometres</t>
  </si>
  <si>
    <t xml:space="preserve">Late </t>
  </si>
  <si>
    <t>&gt; 30 min.</t>
  </si>
  <si>
    <t>Signed on behalf of  Operator:</t>
  </si>
  <si>
    <t>(Form E)</t>
  </si>
  <si>
    <t>(4 x 5)</t>
  </si>
  <si>
    <t>ESTABLISHMENT COST PAID:</t>
  </si>
  <si>
    <t xml:space="preserve">Deduction of </t>
  </si>
  <si>
    <t xml:space="preserve">refundable </t>
  </si>
  <si>
    <t>Release of</t>
  </si>
  <si>
    <t>OPERATOR</t>
  </si>
  <si>
    <t>DEDUCT REFUNDABLE PENALTIES IMPOSED FOR</t>
  </si>
  <si>
    <t>NON-COMPLIANCE WITH SERVICE SPECIFICATIONS :</t>
  </si>
  <si>
    <t>SUB TOTAL 1</t>
  </si>
  <si>
    <t>SUB TOTAL 2</t>
  </si>
  <si>
    <t>SUB TOTAL 3</t>
  </si>
  <si>
    <t>ACCUMULATED ESCALATED  CONTRACT AMOUNT</t>
  </si>
  <si>
    <t>(FORM C, Col 7)</t>
  </si>
  <si>
    <t>FOR MONTH:</t>
  </si>
  <si>
    <t>MONTHLY PENALTIES - SUMMARY</t>
  </si>
  <si>
    <t>CERTIFIED BY THE REPRESENTATIVE</t>
  </si>
  <si>
    <t>RELEASE REFUNDABLE PENALTIES IMPOSED FOR</t>
  </si>
  <si>
    <t>Wed</t>
  </si>
  <si>
    <t>Mon</t>
  </si>
  <si>
    <t>Tue</t>
  </si>
  <si>
    <t>Thurs</t>
  </si>
  <si>
    <t>Fri</t>
  </si>
  <si>
    <t>Sat</t>
  </si>
  <si>
    <t>Sun</t>
  </si>
  <si>
    <t>Number of scheduled trips per day</t>
  </si>
  <si>
    <t>Total number of trips per day</t>
  </si>
  <si>
    <t>Number of days per claim period</t>
  </si>
  <si>
    <t>code *</t>
  </si>
  <si>
    <t>Number reported by</t>
  </si>
  <si>
    <t>Operator</t>
  </si>
  <si>
    <t>SMF</t>
  </si>
  <si>
    <t>SMF &amp;</t>
  </si>
  <si>
    <t>amount</t>
  </si>
  <si>
    <t>-</t>
  </si>
  <si>
    <t>certified values</t>
  </si>
  <si>
    <t>Amounts</t>
  </si>
  <si>
    <t xml:space="preserve"> paid to</t>
  </si>
  <si>
    <t>Monthly Claim Form is correct and just.</t>
  </si>
  <si>
    <t>FORM 9  -  SCHEDULE OF QUANTITIES</t>
  </si>
  <si>
    <t>PAYMENT CERTIFICATE NO :</t>
  </si>
  <si>
    <t>INDICES WEIGHTED AVERAGE :</t>
  </si>
  <si>
    <t>BASE MONTH =</t>
  </si>
  <si>
    <t>with</t>
  </si>
  <si>
    <t>a =</t>
  </si>
  <si>
    <t>b =</t>
  </si>
  <si>
    <t>c =</t>
  </si>
  <si>
    <t>CERT NO.</t>
  </si>
  <si>
    <t>MONTH</t>
  </si>
  <si>
    <t>YEAR</t>
  </si>
  <si>
    <t>Lt</t>
  </si>
  <si>
    <t>Ft</t>
  </si>
  <si>
    <t xml:space="preserve">CERTIFICATE NO.:     </t>
  </si>
  <si>
    <t>Shift</t>
  </si>
  <si>
    <t>TIME</t>
  </si>
  <si>
    <t>RATE</t>
  </si>
  <si>
    <t>Ref</t>
  </si>
  <si>
    <t>Number</t>
  </si>
  <si>
    <t>Sched</t>
  </si>
  <si>
    <t>Actual</t>
  </si>
  <si>
    <t>Code</t>
  </si>
  <si>
    <t>(R)</t>
  </si>
  <si>
    <t>(%)</t>
  </si>
  <si>
    <t>Description</t>
  </si>
  <si>
    <t>Codes</t>
  </si>
  <si>
    <t>(Form D)</t>
  </si>
  <si>
    <t xml:space="preserve">GCC Clause 21 and SCC Clause 5, from FORM G </t>
  </si>
  <si>
    <t>CH-P</t>
  </si>
  <si>
    <t>Rates</t>
  </si>
  <si>
    <t>Months</t>
  </si>
  <si>
    <t>Rand Value</t>
  </si>
  <si>
    <t>Kms</t>
  </si>
  <si>
    <t>(FORM B, Col 5)</t>
  </si>
  <si>
    <t>LESS ACCUMULATED CERTIFICATE VALUES</t>
  </si>
  <si>
    <t>Displayed</t>
  </si>
  <si>
    <t>SUMMARY OF MONTHLY STATISTICS</t>
  </si>
  <si>
    <t>SUBSIDISED SERVICES</t>
  </si>
  <si>
    <t>UNSUBSIDISED SERVICES</t>
  </si>
  <si>
    <t>Standard buses</t>
  </si>
  <si>
    <t>All services &amp; vehicles</t>
  </si>
  <si>
    <t>Operational statistics</t>
  </si>
  <si>
    <t>Number of buses operated</t>
  </si>
  <si>
    <t>Peak vehicle requirement:</t>
  </si>
  <si>
    <t>Spare buses:</t>
  </si>
  <si>
    <t>Number of routes operated</t>
  </si>
  <si>
    <t>Number of staff</t>
  </si>
  <si>
    <t>Number of trips scheduled</t>
  </si>
  <si>
    <t>Number of trips operated</t>
  </si>
  <si>
    <t>Kilometres scheduled</t>
  </si>
  <si>
    <t>Kilometres operated</t>
  </si>
  <si>
    <t>Standing kilometres claimed</t>
  </si>
  <si>
    <t>N/A</t>
  </si>
  <si>
    <t>Total no of  passengers conveyed</t>
  </si>
  <si>
    <t>- Number of cash passengers conveyed</t>
  </si>
  <si>
    <t>- Number of MJT passengers conveyed</t>
  </si>
  <si>
    <t>Revenue</t>
  </si>
  <si>
    <t>Total passenger revenue</t>
  </si>
  <si>
    <t>- Income from cash passengers</t>
  </si>
  <si>
    <t>- Income from MJT passengers</t>
  </si>
  <si>
    <t>Income from private hires</t>
  </si>
  <si>
    <t>Income from dedicated contracts</t>
  </si>
  <si>
    <t>Subsidy claimed</t>
  </si>
  <si>
    <t>Total income</t>
  </si>
  <si>
    <t>Penalties</t>
  </si>
  <si>
    <t>% of penalties</t>
  </si>
  <si>
    <t>Value of penalties before escalation</t>
  </si>
  <si>
    <t>Escalation Factor*</t>
  </si>
  <si>
    <t>Total value of penalties including escalation</t>
  </si>
  <si>
    <t>Total penalties</t>
  </si>
  <si>
    <t>Penalties for trips not operated</t>
  </si>
  <si>
    <t>Penalties for time related offences</t>
  </si>
  <si>
    <t>Penalties related to unsatisfactory vehicle condition</t>
  </si>
  <si>
    <t>Penalties related to unroadworthy vehicles</t>
  </si>
  <si>
    <t>Penalties related to stop &amp; route adherence</t>
  </si>
  <si>
    <t>Penalties related to duty &amp; destination boards</t>
  </si>
  <si>
    <t>* Link to be changed monthly to reflect escalation factor applicable</t>
  </si>
  <si>
    <t>DORA KPIs for subsidised services</t>
  </si>
  <si>
    <t>Inception values</t>
  </si>
  <si>
    <t>Output values</t>
  </si>
  <si>
    <t>Performance value (%)</t>
  </si>
  <si>
    <t>Number of vehicles subsidised</t>
  </si>
  <si>
    <t>Number of subsidised routes operated</t>
  </si>
  <si>
    <t>Staff/vehicle</t>
  </si>
  <si>
    <t>Number of vehicle kms subsidised</t>
  </si>
  <si>
    <t>Subsidy/vehicle</t>
  </si>
  <si>
    <t>Subsidy/passenger</t>
  </si>
  <si>
    <t>Subsidy/kilometre operated</t>
  </si>
  <si>
    <t>Kilometres operated/vehicle</t>
  </si>
  <si>
    <t>Passengers/ vehicle</t>
  </si>
  <si>
    <t>Passengers/ trip operated</t>
  </si>
  <si>
    <t>Passenger revenue/vehicle</t>
  </si>
  <si>
    <t>Passenger revenue/trip operated</t>
  </si>
  <si>
    <t>penalties or</t>
  </si>
  <si>
    <t>PTOG deductions</t>
  </si>
  <si>
    <t xml:space="preserve">penalties or </t>
  </si>
  <si>
    <t>paid to Bus</t>
  </si>
  <si>
    <t>Fund</t>
  </si>
  <si>
    <t>Contributions</t>
  </si>
  <si>
    <t>Restructuring</t>
  </si>
  <si>
    <t>PASSENGER REVENUE</t>
  </si>
  <si>
    <t>pass/trip</t>
  </si>
  <si>
    <t>rev/trip</t>
  </si>
  <si>
    <t>rev/rev km</t>
  </si>
  <si>
    <t>rev/pass</t>
  </si>
  <si>
    <t>TRIPS PER MONTH - CALCULATION SHEET FOR SUBSIDISED SERVICES</t>
  </si>
  <si>
    <t>OPERATIONAL STATISTICS:  SUBSIDISED SERVICES</t>
  </si>
  <si>
    <t>Monies</t>
  </si>
  <si>
    <t>Balance</t>
  </si>
  <si>
    <t>Claimed</t>
  </si>
  <si>
    <t>Paid</t>
  </si>
  <si>
    <t>FINANCIAL YEAR:</t>
  </si>
  <si>
    <t>Date:</t>
  </si>
  <si>
    <t xml:space="preserve">Refund Claimed </t>
  </si>
  <si>
    <t>PTOG</t>
  </si>
  <si>
    <t>SUBSIDY ALLOCATION:</t>
  </si>
  <si>
    <r>
      <t xml:space="preserve">ESCALATION FORMULA (REFER GCC CLAUSE </t>
    </r>
    <r>
      <rPr>
        <b/>
        <sz val="10"/>
        <color indexed="8"/>
        <rFont val="Arial"/>
        <family val="2"/>
      </rPr>
      <t>37</t>
    </r>
    <r>
      <rPr>
        <b/>
        <sz val="10"/>
        <color indexed="8"/>
        <rFont val="Arial"/>
        <family val="2"/>
      </rPr>
      <t>)</t>
    </r>
  </si>
  <si>
    <t xml:space="preserve">PAYMENT CERTIFICATE NO:      </t>
  </si>
  <si>
    <t>Petrus Ackerman</t>
  </si>
  <si>
    <t>OPERATED KM:</t>
  </si>
  <si>
    <t>STANDING KM:</t>
  </si>
  <si>
    <t>Revenue kms at contract rate</t>
  </si>
  <si>
    <t>kms at contract rate</t>
  </si>
  <si>
    <t>FORM  F1 - STANDARD BUS</t>
  </si>
  <si>
    <t>LIST OF MONTHLY PENALTIES:</t>
  </si>
  <si>
    <t>FORM  G1 - DETAILS OF PENALTIES</t>
  </si>
  <si>
    <t>FORM G2 - SUMMARY OF PENALTIES</t>
  </si>
  <si>
    <t>Route No</t>
  </si>
  <si>
    <t>Route Length</t>
  </si>
  <si>
    <t>FORM I1 - STANDARD BUS NORMAL</t>
  </si>
  <si>
    <t>TOTAL Sched Trips</t>
  </si>
  <si>
    <t>TOTAL Sched Km</t>
  </si>
  <si>
    <t>F/R</t>
  </si>
  <si>
    <t>R</t>
  </si>
  <si>
    <t>F</t>
  </si>
  <si>
    <t xml:space="preserve">Break </t>
  </si>
  <si>
    <t>Down</t>
  </si>
  <si>
    <t>Non Com</t>
  </si>
  <si>
    <t>CRW</t>
  </si>
  <si>
    <t>(14+15)</t>
  </si>
  <si>
    <t>(18+19)</t>
  </si>
  <si>
    <t>(20/10)</t>
  </si>
  <si>
    <t>(5x11)</t>
  </si>
  <si>
    <t>(10x11)</t>
  </si>
  <si>
    <t>(14/10)</t>
  </si>
  <si>
    <t>(20/13)</t>
  </si>
  <si>
    <t>(20/16)</t>
  </si>
  <si>
    <t>(24x11)</t>
  </si>
  <si>
    <t xml:space="preserve">           =</t>
  </si>
  <si>
    <t>Maxi buses</t>
  </si>
  <si>
    <t>Train Buses</t>
  </si>
  <si>
    <t>Pub</t>
  </si>
  <si>
    <t>Accountholder name:</t>
  </si>
  <si>
    <t>Account type:</t>
  </si>
  <si>
    <t>Account number:</t>
  </si>
  <si>
    <t>Bank:</t>
  </si>
  <si>
    <t>Branch name:</t>
  </si>
  <si>
    <t>Branch code:</t>
  </si>
  <si>
    <t>BANKDETAILS: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</si>
  <si>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</si>
  <si>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</si>
  <si>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</si>
  <si>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</si>
  <si>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</si>
  <si>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</si>
  <si>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</si>
  <si>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</si>
  <si>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</si>
  <si>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</si>
  <si>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</si>
  <si>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</si>
  <si>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 xml:space="preserve">x = </t>
  </si>
  <si>
    <t>f = (1-x) ((a x (Lt/Lo + b x (Bt/Bo) + (c x Ft/ Fo) - 1)</t>
  </si>
  <si>
    <t>Lo</t>
  </si>
  <si>
    <t>SEIFSA</t>
  </si>
  <si>
    <t>Bo</t>
  </si>
  <si>
    <t>Fo</t>
  </si>
  <si>
    <t>Fuel Index (PPI Report)</t>
  </si>
  <si>
    <t>Bus &amp; Truck Index (PPI Report)</t>
  </si>
  <si>
    <t>Bt</t>
  </si>
  <si>
    <r>
      <t xml:space="preserve">f + </t>
    </r>
    <r>
      <rPr>
        <b/>
        <sz val="10"/>
        <color rgb="FFFF0000"/>
        <rFont val="Arial"/>
        <family val="2"/>
      </rPr>
      <t>1</t>
    </r>
  </si>
  <si>
    <t>OLD PC SYSTEM PC ADJUST FOR REFUNDABLE PEN ETC.</t>
  </si>
  <si>
    <t>FAILED TO OPERATE</t>
  </si>
  <si>
    <t>LATE &gt; 5 MIN</t>
  </si>
  <si>
    <t>LATE &gt; 15 MIN</t>
  </si>
  <si>
    <t>LATE &gt; 30 MIN</t>
  </si>
  <si>
    <t>TRIP OPERATED EARLY</t>
  </si>
  <si>
    <t>BREAKDOWN OR LATE REPLACEMENT</t>
  </si>
  <si>
    <t>INCORRECT OR NO DESTINATION SHOWN</t>
  </si>
  <si>
    <t>INCORRECT OR NO DUTY DISPLAYED</t>
  </si>
  <si>
    <t>FAILED TO STOP AND LOAD</t>
  </si>
  <si>
    <t>VEHICLE - DIRTY</t>
  </si>
  <si>
    <t>VEHICLE - BROKEN WINDOWS</t>
  </si>
  <si>
    <t>VEHICLE - SEATS TORN/BROKEN</t>
  </si>
  <si>
    <t>VEHICLE - DOOR BROKEN/MISSING</t>
  </si>
  <si>
    <t>DEVIATION FROM ROUTE</t>
  </si>
  <si>
    <t>NO HEAD/REAR LIGHTS</t>
  </si>
  <si>
    <t>APPROVED EE NOT USED</t>
  </si>
  <si>
    <t>COF - TIME DNO</t>
  </si>
  <si>
    <t>BUS DNO</t>
  </si>
  <si>
    <t>Pen %</t>
  </si>
  <si>
    <t>Pen Amount</t>
  </si>
  <si>
    <t>Min Penalty</t>
  </si>
  <si>
    <t>Double Penalty</t>
  </si>
  <si>
    <t>* Penalty codes &amp; fines</t>
  </si>
  <si>
    <t>FORM  F2 - STANDARD BUS</t>
  </si>
  <si>
    <t>OPERATIONAL STATISTICS:  UNSUBSIDISED SERVICES</t>
  </si>
  <si>
    <t>% FOR APPROVED VEHICLES NOT OPERATED (SCC - CL 5.5.8 (a))</t>
  </si>
  <si>
    <t>% FOR TICKET MACHINES NOT USED  (SCC - CL 5.5.9)</t>
  </si>
  <si>
    <t>% FOR MONTHLY STATISTICS NOT SUPPLIED (SCC - CL 5.5.9 (c))</t>
  </si>
  <si>
    <t>% FOR FAILURE TO IMPLEMENT RDP PROPOSAL (SCC - CL5.510)</t>
  </si>
  <si>
    <t>% FOR FAILURE TO IMPLEMENT VIABLE SUB-CONTRACTING</t>
  </si>
  <si>
    <t>5% FOR APPROVED VEHICLES NOT OPERATED (SCC - CL 5.5.8 (a))</t>
  </si>
  <si>
    <t>3% FOR APPROVED EE NOT USED (SCC - CL 5.5.9 (b))</t>
  </si>
  <si>
    <t>5% FOR MONTHLY STATISTICS NOT SUPPLIED (SCC - CL 5.5.9 (c))</t>
  </si>
  <si>
    <t>3% FOR FAILURE TO IMPLEMENT RDP PROPOSAL (SCC - CL5.5.10)</t>
  </si>
  <si>
    <t>5% FOR FAILURE TO IMPLEMENT VIABLE SUB-CONTRACTING</t>
  </si>
  <si>
    <t>Pen</t>
  </si>
  <si>
    <r>
      <t xml:space="preserve">CONTRACT : </t>
    </r>
    <r>
      <rPr>
        <sz val="10"/>
        <rFont val="Arial"/>
        <family val="2"/>
      </rPr>
      <t>ZNT 1129</t>
    </r>
  </si>
  <si>
    <t>Ripple Effect 40 (Pty) Ltd</t>
  </si>
  <si>
    <t>PROVISION OF PUBLIC PASSENGER TRANSPORT MKUZE AND SURROUNDING</t>
  </si>
  <si>
    <t>10</t>
  </si>
  <si>
    <t>BIVA TERMINUS</t>
  </si>
  <si>
    <t>PONGOLA TERMINUS</t>
  </si>
  <si>
    <t>1A.3</t>
  </si>
  <si>
    <t>INGWAVUMA</t>
  </si>
  <si>
    <t>MKUZE</t>
  </si>
  <si>
    <t>1A1</t>
  </si>
  <si>
    <t>1A4</t>
  </si>
  <si>
    <t>MAVELA</t>
  </si>
  <si>
    <t>1B.1</t>
  </si>
  <si>
    <t>1B2</t>
  </si>
  <si>
    <t>1C1</t>
  </si>
  <si>
    <t>JOZINI</t>
  </si>
  <si>
    <t>1C2</t>
  </si>
  <si>
    <t>1D</t>
  </si>
  <si>
    <t>KWA-JOHN</t>
  </si>
  <si>
    <t>2</t>
  </si>
  <si>
    <t>ENGONYAMENI</t>
  </si>
  <si>
    <t>3</t>
  </si>
  <si>
    <t>ESIGAYWENI</t>
  </si>
  <si>
    <t>5</t>
  </si>
  <si>
    <t>EKUKHANYENI</t>
  </si>
  <si>
    <t>6A</t>
  </si>
  <si>
    <t>MANGUZE</t>
  </si>
  <si>
    <t>6B</t>
  </si>
  <si>
    <t>MBUYISA</t>
  </si>
  <si>
    <t>6C</t>
  </si>
  <si>
    <t>7A</t>
  </si>
  <si>
    <t>7C</t>
  </si>
  <si>
    <t>NGUTSHANA</t>
  </si>
  <si>
    <t>8</t>
  </si>
  <si>
    <t>MANABA</t>
  </si>
  <si>
    <t>9A</t>
  </si>
  <si>
    <t>KWA-MAZIBUKO TERMINUS</t>
  </si>
  <si>
    <t>MKUZE TERMINUS</t>
  </si>
  <si>
    <t>9B</t>
  </si>
  <si>
    <t>HLABISA TERMINUS</t>
  </si>
  <si>
    <t>HLABISATERMINUS</t>
  </si>
  <si>
    <t>YES</t>
  </si>
  <si>
    <t>11A</t>
  </si>
  <si>
    <t>11B</t>
  </si>
  <si>
    <t>19A</t>
  </si>
  <si>
    <t>MANGUZI</t>
  </si>
  <si>
    <t xml:space="preserve">MKUZE </t>
  </si>
  <si>
    <t>EMPANGENI</t>
  </si>
  <si>
    <t>MHLEKAZI</t>
  </si>
  <si>
    <r>
      <t xml:space="preserve">On behalf of </t>
    </r>
    <r>
      <rPr>
        <b/>
        <sz val="10"/>
        <rFont val="Arial"/>
        <family val="2"/>
      </rPr>
      <t>Ripple Effect 40 (PTY) LTD</t>
    </r>
    <r>
      <rPr>
        <sz val="10"/>
        <rFont val="Arial"/>
        <family val="2"/>
      </rPr>
      <t xml:space="preserve"> it is herewith certified that the information supplied in this </t>
    </r>
  </si>
  <si>
    <t>Ripple Effect 40 Close Corporation</t>
  </si>
  <si>
    <t>Cheque</t>
  </si>
  <si>
    <t>STANDARDBANK SA</t>
  </si>
  <si>
    <t>KINGSMEAD</t>
  </si>
  <si>
    <t>OPS</t>
  </si>
  <si>
    <t>SK</t>
  </si>
  <si>
    <t>Double</t>
  </si>
  <si>
    <t>Double Pen</t>
  </si>
  <si>
    <t>Penalty Corrections - March 2021</t>
  </si>
  <si>
    <t>Original March 2021 Amount for Escalation</t>
  </si>
  <si>
    <t>Adjusted Amount for Escalation</t>
  </si>
  <si>
    <t>Public Holiday Corrections - December 2021</t>
  </si>
  <si>
    <t>Original November 2021 Amount for Escalation</t>
  </si>
  <si>
    <t>Correction Amount</t>
  </si>
  <si>
    <t>Penalty Corrections - March 2022</t>
  </si>
  <si>
    <t>Original March 2022 Amount for Escalation</t>
  </si>
  <si>
    <t>Penalty Corrections - March 2023</t>
  </si>
  <si>
    <t>Original March 2023 Amount for Escalation</t>
  </si>
  <si>
    <t>EMACHOBENI</t>
  </si>
  <si>
    <t>MAZIBUKO</t>
  </si>
  <si>
    <t>24mth</t>
  </si>
  <si>
    <t>HLABISA</t>
  </si>
  <si>
    <t xml:space="preserve">Penalties deducted INCORRECTLY in JUNE </t>
  </si>
  <si>
    <t>Penalty Corrections - June 2023</t>
  </si>
  <si>
    <t>Original June 2023 Amount for Escalation</t>
  </si>
  <si>
    <t xml:space="preserve">In June 2023, penalty values were incorrectly  added to the Code 4 penalties.  This amounted to R11 303.21 and was added on Form C of this Payment Certificate.  Kindly refer to the table below: </t>
  </si>
  <si>
    <t xml:space="preserve">JOZINI </t>
  </si>
  <si>
    <t>TESS</t>
  </si>
  <si>
    <t>DOUBLE</t>
  </si>
  <si>
    <t>Original April 2024 Amount for Escalation</t>
  </si>
  <si>
    <t>Penalty Corrections - April 2024</t>
  </si>
  <si>
    <r>
      <t xml:space="preserve">Enclosed Schedule Form F from </t>
    </r>
    <r>
      <rPr>
        <b/>
        <sz val="10"/>
        <rFont val="Arial"/>
        <family val="2"/>
      </rPr>
      <t xml:space="preserve">1 to 31 May 2025 </t>
    </r>
    <r>
      <rPr>
        <sz val="10"/>
        <rFont val="Arial"/>
        <family val="2"/>
      </rPr>
      <t>for the above contract</t>
    </r>
  </si>
  <si>
    <t>9a</t>
  </si>
  <si>
    <t>12:h00</t>
  </si>
  <si>
    <t>12:h10</t>
  </si>
  <si>
    <t xml:space="preserve">mkuze </t>
  </si>
  <si>
    <t>mazibuko</t>
  </si>
  <si>
    <t>9b</t>
  </si>
  <si>
    <t>14:h00</t>
  </si>
  <si>
    <t>14:h13</t>
  </si>
  <si>
    <t>hlabisa</t>
  </si>
  <si>
    <t>12:h30</t>
  </si>
  <si>
    <t>12:h40</t>
  </si>
  <si>
    <t>manaba</t>
  </si>
  <si>
    <t>7c</t>
  </si>
  <si>
    <t>13:h00</t>
  </si>
  <si>
    <t>13:h17</t>
  </si>
  <si>
    <t>ngutshana</t>
  </si>
  <si>
    <t>14:h10</t>
  </si>
  <si>
    <t>12:h44</t>
  </si>
  <si>
    <t>1a1</t>
  </si>
  <si>
    <t>emachobeni</t>
  </si>
  <si>
    <t>13:H00</t>
  </si>
  <si>
    <t>13:H19</t>
  </si>
  <si>
    <t>OP</t>
  </si>
  <si>
    <t>TESS/OP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</si>
</sst>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7">
    <numFmt numFmtId="7" formatCode="&quot;R&quot;#,##0.00;\-&quot;R&quot;#,##0.0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&quot;R&quot;#,##0_);[Red]\(&quot;R&quot;#,##0\)"/>
    <numFmt numFmtId="165" formatCode="&quot;R&quot;#,##0.00_);\(&quot;R&quot;#,##0.00\)"/>
    <numFmt numFmtId="166" formatCode="_(&quot;R&quot;* #,##0.00_);_(&quot;R&quot;* \(#,##0.00\);_(&quot;R&quot;* &quot;-&quot;??_);_(@_)"/>
    <numFmt numFmtId="167" formatCode="&quot;R&quot;\ #,##0;[Red]&quot;R&quot;\ \-#,##0"/>
    <numFmt numFmtId="168" formatCode="&quot;R&quot;\ #,##0.00;[Red]&quot;R&quot;\ \-#,##0.00"/>
    <numFmt numFmtId="169" formatCode="_ &quot;R&quot;\ * #,##0.00_ ;_ &quot;R&quot;\ * \-#,##0.00_ ;_ &quot;R&quot;\ * &quot;-&quot;??_ ;_ @_ "/>
    <numFmt numFmtId="170" formatCode="&quot;R&quot;\ #,##0.00"/>
    <numFmt numFmtId="171" formatCode="mmmm\-yyyy"/>
    <numFmt numFmtId="172" formatCode="0.0000%"/>
    <numFmt numFmtId="173" formatCode="0.0"/>
    <numFmt numFmtId="174" formatCode="dd\-mmmm\-yyyy"/>
    <numFmt numFmtId="175" formatCode="&quot;R&quot;#,##0.00"/>
    <numFmt numFmtId="176" formatCode="dd/mmmm/yyyy"/>
    <numFmt numFmtId="177" formatCode="mmm\-yyyy"/>
    <numFmt numFmtId="178" formatCode="mmmm/yyyy"/>
    <numFmt numFmtId="179" formatCode="mmmm\ \-yyyy"/>
    <numFmt numFmtId="180" formatCode="#,##0.0"/>
    <numFmt numFmtId="181" formatCode="0.000000"/>
    <numFmt numFmtId="182" formatCode="&quot;R&quot;\ #,##0"/>
    <numFmt numFmtId="183" formatCode="#,##0.000"/>
    <numFmt numFmtId="184" formatCode="mmm\-yy_)"/>
    <numFmt numFmtId="185" formatCode="#,##0.0_);\(#,##0.0\)"/>
    <numFmt numFmtId="186" formatCode="0.0_)"/>
    <numFmt numFmtId="187" formatCode="#,##0.000000_);\(#,##0.000000\)"/>
    <numFmt numFmtId="188" formatCode="0.00_)"/>
    <numFmt numFmtId="189" formatCode="0_)"/>
    <numFmt numFmtId="190" formatCode="0.0%"/>
    <numFmt numFmtId="191" formatCode="_-* #,##0.0_-;\-* #,##0.0_-;_-* &quot;-&quot;??_-;_-@_-"/>
    <numFmt numFmtId="192" formatCode="0_);\(0\)"/>
    <numFmt numFmtId="193" formatCode="&quot;R&quot;\ #,##0.000000"/>
    <numFmt numFmtId="194" formatCode="0.0000000000000"/>
    <numFmt numFmtId="195" formatCode="&quot;R&quot;#,##0.0"/>
    <numFmt numFmtId="196" formatCode="[$-1C09]dd\ mmmm\ yyyy;@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8"/>
      <color indexed="10"/>
      <name val="Arial"/>
      <family val="2"/>
    </font>
    <font>
      <sz val="9"/>
      <color indexed="9"/>
      <name val="Arial"/>
      <family val="2"/>
    </font>
    <font>
      <sz val="9"/>
      <color indexed="41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8"/>
      <name val="Times New Roma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b/>
      <i/>
      <sz val="9"/>
      <color rgb="FFFF0000"/>
      <name val="Arial"/>
      <family val="2"/>
    </font>
    <font>
      <sz val="8"/>
      <color indexed="8"/>
      <name val="Arial"/>
      <family val="2"/>
    </font>
    <font>
      <sz val="9"/>
      <color indexed="8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gray0625">
        <fgColor indexed="22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7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</cellStyleXfs>
  <cellXfs count="973">
    <xf numFmtId="0" fontId="0" fillId="0" borderId="0" xfId="0"/>
    <xf numFmtId="170" fontId="4" fillId="0" borderId="0" xfId="0" applyNumberFormat="1" applyFont="1"/>
    <xf numFmtId="0" fontId="4" fillId="0" borderId="1" xfId="0" applyFont="1" applyBorder="1"/>
    <xf numFmtId="170" fontId="4" fillId="0" borderId="2" xfId="0" applyNumberFormat="1" applyFont="1" applyBorder="1"/>
    <xf numFmtId="0" fontId="4" fillId="0" borderId="3" xfId="0" applyFont="1" applyBorder="1"/>
    <xf numFmtId="170" fontId="4" fillId="0" borderId="3" xfId="0" applyNumberFormat="1" applyFont="1" applyBorder="1"/>
    <xf numFmtId="170" fontId="0" fillId="0" borderId="0" xfId="0" applyNumberFormat="1"/>
    <xf numFmtId="0" fontId="0" fillId="0" borderId="0" xfId="0" applyAlignment="1">
      <alignment horizontal="left"/>
    </xf>
    <xf numFmtId="170" fontId="7" fillId="0" borderId="0" xfId="0" applyNumberFormat="1" applyFont="1"/>
    <xf numFmtId="0" fontId="7" fillId="0" borderId="0" xfId="0" applyFont="1" applyAlignment="1">
      <alignment horizontal="left"/>
    </xf>
    <xf numFmtId="171" fontId="7" fillId="0" borderId="0" xfId="0" applyNumberFormat="1" applyFont="1" applyAlignment="1">
      <alignment horizontal="left"/>
    </xf>
    <xf numFmtId="170" fontId="7" fillId="0" borderId="4" xfId="0" applyNumberFormat="1" applyFont="1" applyBorder="1"/>
    <xf numFmtId="170" fontId="8" fillId="2" borderId="4" xfId="0" applyNumberFormat="1" applyFont="1" applyFill="1" applyBorder="1"/>
    <xf numFmtId="170" fontId="4" fillId="0" borderId="2" xfId="0" applyNumberFormat="1" applyFont="1" applyBorder="1" applyAlignment="1">
      <alignment horizontal="right"/>
    </xf>
    <xf numFmtId="0" fontId="4" fillId="0" borderId="0" xfId="0" applyFont="1"/>
    <xf numFmtId="0" fontId="4" fillId="0" borderId="5" xfId="0" applyFont="1" applyBorder="1"/>
    <xf numFmtId="170" fontId="4" fillId="0" borderId="1" xfId="0" applyNumberFormat="1" applyFont="1" applyBorder="1"/>
    <xf numFmtId="170" fontId="4" fillId="0" borderId="2" xfId="0" applyNumberFormat="1" applyFont="1" applyBorder="1" applyAlignment="1">
      <alignment horizontal="center"/>
    </xf>
    <xf numFmtId="170" fontId="4" fillId="0" borderId="6" xfId="0" applyNumberFormat="1" applyFont="1" applyBorder="1" applyAlignment="1">
      <alignment horizontal="center"/>
    </xf>
    <xf numFmtId="170" fontId="4" fillId="0" borderId="3" xfId="0" applyNumberFormat="1" applyFont="1" applyBorder="1" applyAlignment="1">
      <alignment horizontal="center"/>
    </xf>
    <xf numFmtId="171" fontId="4" fillId="0" borderId="0" xfId="0" applyNumberFormat="1" applyFont="1" applyAlignment="1">
      <alignment horizontal="left"/>
    </xf>
    <xf numFmtId="170" fontId="11" fillId="0" borderId="0" xfId="0" applyNumberFormat="1" applyFont="1"/>
    <xf numFmtId="179" fontId="4" fillId="0" borderId="0" xfId="0" applyNumberFormat="1" applyFont="1" applyAlignment="1">
      <alignment horizontal="left" vertical="center"/>
    </xf>
    <xf numFmtId="170" fontId="4" fillId="0" borderId="7" xfId="0" applyNumberFormat="1" applyFont="1" applyBorder="1" applyAlignment="1">
      <alignment horizontal="center"/>
    </xf>
    <xf numFmtId="170" fontId="4" fillId="0" borderId="8" xfId="0" applyNumberFormat="1" applyFont="1" applyBorder="1" applyAlignment="1">
      <alignment horizontal="center"/>
    </xf>
    <xf numFmtId="170" fontId="4" fillId="0" borderId="9" xfId="0" applyNumberFormat="1" applyFont="1" applyBorder="1"/>
    <xf numFmtId="170" fontId="4" fillId="0" borderId="10" xfId="0" applyNumberFormat="1" applyFont="1" applyBorder="1" applyAlignment="1">
      <alignment horizontal="center"/>
    </xf>
    <xf numFmtId="170" fontId="4" fillId="0" borderId="7" xfId="0" applyNumberFormat="1" applyFont="1" applyBorder="1"/>
    <xf numFmtId="170" fontId="4" fillId="0" borderId="10" xfId="0" applyNumberFormat="1" applyFont="1" applyBorder="1" applyAlignment="1">
      <alignment horizontal="centerContinuous"/>
    </xf>
    <xf numFmtId="170" fontId="4" fillId="0" borderId="2" xfId="0" applyNumberFormat="1" applyFont="1" applyBorder="1" applyAlignment="1">
      <alignment horizontal="centerContinuous"/>
    </xf>
    <xf numFmtId="0" fontId="4" fillId="0" borderId="11" xfId="0" applyFont="1" applyBorder="1"/>
    <xf numFmtId="0" fontId="4" fillId="0" borderId="3" xfId="0" applyFont="1" applyBorder="1" applyAlignment="1">
      <alignment horizontal="center"/>
    </xf>
    <xf numFmtId="170" fontId="4" fillId="0" borderId="11" xfId="0" applyNumberFormat="1" applyFont="1" applyBorder="1" applyAlignment="1">
      <alignment horizontal="center"/>
    </xf>
    <xf numFmtId="170" fontId="4" fillId="0" borderId="5" xfId="0" applyNumberFormat="1" applyFont="1" applyBorder="1" applyAlignment="1">
      <alignment horizontal="center"/>
    </xf>
    <xf numFmtId="170" fontId="4" fillId="0" borderId="11" xfId="0" applyNumberFormat="1" applyFont="1" applyBorder="1"/>
    <xf numFmtId="170" fontId="4" fillId="0" borderId="10" xfId="0" applyNumberFormat="1" applyFont="1" applyBorder="1"/>
    <xf numFmtId="170" fontId="4" fillId="0" borderId="4" xfId="0" applyNumberFormat="1" applyFont="1" applyBorder="1"/>
    <xf numFmtId="170" fontId="9" fillId="0" borderId="11" xfId="0" applyNumberFormat="1" applyFont="1" applyBorder="1"/>
    <xf numFmtId="170" fontId="9" fillId="0" borderId="4" xfId="0" applyNumberFormat="1" applyFont="1" applyBorder="1"/>
    <xf numFmtId="0" fontId="4" fillId="0" borderId="12" xfId="0" applyFont="1" applyBorder="1" applyAlignment="1">
      <alignment horizontal="center"/>
    </xf>
    <xf numFmtId="170" fontId="4" fillId="0" borderId="1" xfId="0" applyNumberFormat="1" applyFont="1" applyBorder="1" applyAlignment="1">
      <alignment horizontal="center"/>
    </xf>
    <xf numFmtId="170" fontId="0" fillId="0" borderId="0" xfId="0" applyNumberFormat="1" applyAlignment="1">
      <alignment horizontal="center"/>
    </xf>
    <xf numFmtId="0" fontId="11" fillId="0" borderId="0" xfId="0" applyFont="1"/>
    <xf numFmtId="0" fontId="4" fillId="0" borderId="2" xfId="0" applyFont="1" applyBorder="1" applyAlignment="1">
      <alignment horizontal="center"/>
    </xf>
    <xf numFmtId="170" fontId="6" fillId="0" borderId="0" xfId="0" applyNumberFormat="1" applyFont="1"/>
    <xf numFmtId="170" fontId="6" fillId="0" borderId="0" xfId="0" applyNumberFormat="1" applyFont="1" applyAlignment="1">
      <alignment horizontal="left"/>
    </xf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175" fontId="13" fillId="0" borderId="0" xfId="0" applyNumberFormat="1" applyFont="1" applyAlignment="1">
      <alignment horizontal="right"/>
    </xf>
    <xf numFmtId="15" fontId="12" fillId="0" borderId="0" xfId="0" applyNumberFormat="1" applyFont="1"/>
    <xf numFmtId="170" fontId="8" fillId="0" borderId="0" xfId="0" applyNumberFormat="1" applyFont="1"/>
    <xf numFmtId="0" fontId="4" fillId="0" borderId="10" xfId="0" applyFont="1" applyBorder="1" applyAlignment="1">
      <alignment horizontal="center"/>
    </xf>
    <xf numFmtId="0" fontId="8" fillId="0" borderId="0" xfId="0" applyFont="1"/>
    <xf numFmtId="170" fontId="8" fillId="0" borderId="0" xfId="0" applyNumberFormat="1" applyFont="1" applyAlignment="1">
      <alignment horizontal="right"/>
    </xf>
    <xf numFmtId="0" fontId="10" fillId="0" borderId="0" xfId="0" applyFont="1"/>
    <xf numFmtId="170" fontId="10" fillId="0" borderId="0" xfId="0" applyNumberFormat="1" applyFont="1"/>
    <xf numFmtId="170" fontId="10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70" fontId="4" fillId="0" borderId="0" xfId="0" applyNumberFormat="1" applyFont="1" applyAlignment="1">
      <alignment horizontal="center"/>
    </xf>
    <xf numFmtId="1" fontId="0" fillId="0" borderId="0" xfId="0" applyNumberFormat="1"/>
    <xf numFmtId="170" fontId="4" fillId="0" borderId="4" xfId="0" applyNumberFormat="1" applyFont="1" applyBorder="1" applyAlignment="1">
      <alignment horizontal="center"/>
    </xf>
    <xf numFmtId="170" fontId="4" fillId="0" borderId="8" xfId="0" applyNumberFormat="1" applyFont="1" applyBorder="1"/>
    <xf numFmtId="170" fontId="4" fillId="0" borderId="5" xfId="0" applyNumberFormat="1" applyFont="1" applyBorder="1"/>
    <xf numFmtId="3" fontId="4" fillId="0" borderId="10" xfId="0" applyNumberFormat="1" applyFont="1" applyBorder="1"/>
    <xf numFmtId="3" fontId="4" fillId="0" borderId="7" xfId="0" applyNumberFormat="1" applyFont="1" applyBorder="1"/>
    <xf numFmtId="3" fontId="4" fillId="0" borderId="0" xfId="0" applyNumberFormat="1" applyFont="1"/>
    <xf numFmtId="3" fontId="4" fillId="0" borderId="4" xfId="0" applyNumberFormat="1" applyFont="1" applyBorder="1"/>
    <xf numFmtId="170" fontId="10" fillId="0" borderId="3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75" fontId="0" fillId="0" borderId="0" xfId="0" applyNumberFormat="1"/>
    <xf numFmtId="172" fontId="4" fillId="0" borderId="10" xfId="0" applyNumberFormat="1" applyFont="1" applyBorder="1" applyAlignment="1">
      <alignment horizontal="center"/>
    </xf>
    <xf numFmtId="172" fontId="4" fillId="0" borderId="2" xfId="0" applyNumberFormat="1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70" fontId="10" fillId="0" borderId="6" xfId="0" applyNumberFormat="1" applyFont="1" applyBorder="1" applyAlignment="1">
      <alignment horizontal="center"/>
    </xf>
    <xf numFmtId="170" fontId="10" fillId="0" borderId="5" xfId="0" applyNumberFormat="1" applyFont="1" applyBorder="1" applyAlignment="1">
      <alignment horizontal="center"/>
    </xf>
    <xf numFmtId="170" fontId="10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70" fontId="10" fillId="0" borderId="1" xfId="0" applyNumberFormat="1" applyFont="1" applyBorder="1"/>
    <xf numFmtId="170" fontId="10" fillId="0" borderId="8" xfId="0" applyNumberFormat="1" applyFont="1" applyBorder="1"/>
    <xf numFmtId="170" fontId="10" fillId="0" borderId="2" xfId="0" applyNumberFormat="1" applyFont="1" applyBorder="1"/>
    <xf numFmtId="170" fontId="10" fillId="0" borderId="6" xfId="0" applyNumberFormat="1" applyFont="1" applyBorder="1"/>
    <xf numFmtId="0" fontId="8" fillId="0" borderId="2" xfId="0" applyFont="1" applyBorder="1"/>
    <xf numFmtId="49" fontId="8" fillId="0" borderId="12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0" fontId="3" fillId="0" borderId="1" xfId="0" applyFont="1" applyBorder="1"/>
    <xf numFmtId="170" fontId="17" fillId="0" borderId="0" xfId="0" applyNumberFormat="1" applyFont="1"/>
    <xf numFmtId="1" fontId="17" fillId="0" borderId="0" xfId="0" applyNumberFormat="1" applyFont="1"/>
    <xf numFmtId="1" fontId="18" fillId="0" borderId="3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171" fontId="7" fillId="0" borderId="0" xfId="0" quotePrefix="1" applyNumberFormat="1" applyFont="1" applyAlignment="1">
      <alignment horizontal="left"/>
    </xf>
    <xf numFmtId="0" fontId="8" fillId="0" borderId="0" xfId="0" applyFont="1" applyAlignment="1">
      <alignment horizontal="left"/>
    </xf>
    <xf numFmtId="180" fontId="4" fillId="0" borderId="5" xfId="0" applyNumberFormat="1" applyFont="1" applyBorder="1" applyAlignment="1">
      <alignment horizontal="center"/>
    </xf>
    <xf numFmtId="17" fontId="7" fillId="0" borderId="0" xfId="0" quotePrefix="1" applyNumberFormat="1" applyFont="1" applyAlignment="1">
      <alignment horizontal="left"/>
    </xf>
    <xf numFmtId="2" fontId="0" fillId="0" borderId="0" xfId="0" applyNumberFormat="1"/>
    <xf numFmtId="3" fontId="0" fillId="0" borderId="0" xfId="0" applyNumberFormat="1"/>
    <xf numFmtId="4" fontId="0" fillId="0" borderId="0" xfId="0" applyNumberFormat="1" applyAlignment="1">
      <alignment horizontal="center"/>
    </xf>
    <xf numFmtId="3" fontId="7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170" fontId="4" fillId="0" borderId="12" xfId="0" applyNumberFormat="1" applyFont="1" applyBorder="1" applyAlignment="1">
      <alignment horizontal="center"/>
    </xf>
    <xf numFmtId="4" fontId="4" fillId="0" borderId="0" xfId="0" applyNumberFormat="1" applyFont="1"/>
    <xf numFmtId="4" fontId="0" fillId="0" borderId="0" xfId="0" applyNumberFormat="1"/>
    <xf numFmtId="183" fontId="0" fillId="0" borderId="0" xfId="0" applyNumberForma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Continuous"/>
    </xf>
    <xf numFmtId="0" fontId="19" fillId="0" borderId="0" xfId="0" applyFont="1"/>
    <xf numFmtId="0" fontId="19" fillId="0" borderId="0" xfId="0" applyFont="1" applyAlignment="1">
      <alignment horizontal="centerContinuous"/>
    </xf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1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185" fontId="19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26" fillId="0" borderId="0" xfId="0" applyFont="1"/>
    <xf numFmtId="184" fontId="27" fillId="0" borderId="0" xfId="0" applyNumberFormat="1" applyFont="1" applyAlignment="1">
      <alignment horizontal="left"/>
    </xf>
    <xf numFmtId="9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82" fontId="0" fillId="0" borderId="0" xfId="0" applyNumberFormat="1"/>
    <xf numFmtId="0" fontId="28" fillId="0" borderId="0" xfId="0" applyFont="1"/>
    <xf numFmtId="0" fontId="4" fillId="0" borderId="2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20" fillId="0" borderId="0" xfId="0" applyFont="1"/>
    <xf numFmtId="0" fontId="7" fillId="0" borderId="2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/>
    <xf numFmtId="0" fontId="29" fillId="0" borderId="0" xfId="0" applyFont="1"/>
    <xf numFmtId="3" fontId="29" fillId="0" borderId="0" xfId="0" applyNumberFormat="1" applyFont="1"/>
    <xf numFmtId="4" fontId="29" fillId="0" borderId="0" xfId="0" applyNumberFormat="1" applyFont="1" applyAlignment="1">
      <alignment horizontal="center"/>
    </xf>
    <xf numFmtId="3" fontId="30" fillId="0" borderId="0" xfId="0" applyNumberFormat="1" applyFont="1"/>
    <xf numFmtId="4" fontId="30" fillId="0" borderId="0" xfId="0" applyNumberFormat="1" applyFont="1" applyAlignment="1">
      <alignment horizontal="center"/>
    </xf>
    <xf numFmtId="3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right"/>
    </xf>
    <xf numFmtId="0" fontId="30" fillId="0" borderId="12" xfId="0" applyFont="1" applyBorder="1"/>
    <xf numFmtId="3" fontId="30" fillId="0" borderId="12" xfId="0" applyNumberFormat="1" applyFont="1" applyBorder="1"/>
    <xf numFmtId="3" fontId="30" fillId="0" borderId="12" xfId="0" applyNumberFormat="1" applyFont="1" applyBorder="1" applyAlignment="1">
      <alignment horizontal="center"/>
    </xf>
    <xf numFmtId="4" fontId="30" fillId="0" borderId="13" xfId="0" applyNumberFormat="1" applyFont="1" applyBorder="1" applyAlignment="1">
      <alignment horizontal="center"/>
    </xf>
    <xf numFmtId="4" fontId="30" fillId="0" borderId="12" xfId="0" applyNumberFormat="1" applyFont="1" applyBorder="1"/>
    <xf numFmtId="4" fontId="29" fillId="0" borderId="0" xfId="0" applyNumberFormat="1" applyFont="1"/>
    <xf numFmtId="4" fontId="30" fillId="0" borderId="0" xfId="0" applyNumberFormat="1" applyFont="1"/>
    <xf numFmtId="0" fontId="7" fillId="0" borderId="0" xfId="0" applyFont="1" applyAlignment="1">
      <alignment horizontal="center"/>
    </xf>
    <xf numFmtId="174" fontId="27" fillId="0" borderId="0" xfId="0" applyNumberFormat="1" applyFont="1" applyAlignment="1">
      <alignment horizontal="left"/>
    </xf>
    <xf numFmtId="180" fontId="7" fillId="0" borderId="0" xfId="0" applyNumberFormat="1" applyFont="1" applyProtection="1">
      <protection locked="0"/>
    </xf>
    <xf numFmtId="170" fontId="7" fillId="0" borderId="0" xfId="0" applyNumberFormat="1" applyFont="1" applyAlignment="1">
      <alignment horizontal="center"/>
    </xf>
    <xf numFmtId="180" fontId="7" fillId="0" borderId="0" xfId="0" applyNumberFormat="1" applyFont="1" applyAlignment="1">
      <alignment horizontal="center"/>
    </xf>
    <xf numFmtId="4" fontId="7" fillId="0" borderId="4" xfId="0" applyNumberFormat="1" applyFont="1" applyBorder="1"/>
    <xf numFmtId="170" fontId="31" fillId="0" borderId="0" xfId="0" applyNumberFormat="1" applyFont="1"/>
    <xf numFmtId="170" fontId="7" fillId="2" borderId="4" xfId="0" applyNumberFormat="1" applyFont="1" applyFill="1" applyBorder="1"/>
    <xf numFmtId="0" fontId="32" fillId="0" borderId="24" xfId="0" applyFont="1" applyBorder="1" applyAlignment="1">
      <alignment horizontal="center"/>
    </xf>
    <xf numFmtId="0" fontId="32" fillId="0" borderId="24" xfId="0" applyFont="1" applyBorder="1"/>
    <xf numFmtId="4" fontId="8" fillId="0" borderId="12" xfId="0" applyNumberFormat="1" applyFont="1" applyBorder="1" applyAlignment="1">
      <alignment horizontal="center"/>
    </xf>
    <xf numFmtId="0" fontId="8" fillId="0" borderId="9" xfId="0" applyFont="1" applyBorder="1"/>
    <xf numFmtId="4" fontId="8" fillId="0" borderId="9" xfId="0" applyNumberFormat="1" applyFont="1" applyBorder="1"/>
    <xf numFmtId="0" fontId="8" fillId="0" borderId="8" xfId="0" applyFont="1" applyBorder="1"/>
    <xf numFmtId="170" fontId="4" fillId="0" borderId="0" xfId="0" quotePrefix="1" applyNumberFormat="1" applyFont="1" applyAlignment="1">
      <alignment horizontal="right"/>
    </xf>
    <xf numFmtId="189" fontId="27" fillId="0" borderId="0" xfId="0" quotePrefix="1" applyNumberFormat="1" applyFont="1" applyAlignment="1">
      <alignment horizontal="center"/>
    </xf>
    <xf numFmtId="180" fontId="8" fillId="0" borderId="0" xfId="0" applyNumberFormat="1" applyFont="1" applyAlignment="1">
      <alignment horizontal="center"/>
    </xf>
    <xf numFmtId="0" fontId="7" fillId="0" borderId="11" xfId="0" applyFont="1" applyBorder="1"/>
    <xf numFmtId="0" fontId="7" fillId="0" borderId="10" xfId="0" applyFont="1" applyBorder="1"/>
    <xf numFmtId="3" fontId="7" fillId="0" borderId="21" xfId="0" applyNumberFormat="1" applyFont="1" applyBorder="1" applyAlignment="1">
      <alignment horizontal="center"/>
    </xf>
    <xf numFmtId="180" fontId="7" fillId="0" borderId="21" xfId="0" applyNumberFormat="1" applyFont="1" applyBorder="1" applyAlignment="1">
      <alignment horizontal="center"/>
    </xf>
    <xf numFmtId="3" fontId="28" fillId="0" borderId="21" xfId="0" applyNumberFormat="1" applyFont="1" applyBorder="1" applyAlignment="1">
      <alignment horizontal="center"/>
    </xf>
    <xf numFmtId="3" fontId="28" fillId="0" borderId="25" xfId="0" applyNumberFormat="1" applyFont="1" applyBorder="1" applyAlignment="1">
      <alignment horizontal="center"/>
    </xf>
    <xf numFmtId="170" fontId="28" fillId="0" borderId="21" xfId="0" applyNumberFormat="1" applyFont="1" applyBorder="1" applyAlignment="1">
      <alignment horizontal="center"/>
    </xf>
    <xf numFmtId="0" fontId="0" fillId="0" borderId="3" xfId="0" applyBorder="1" applyAlignment="1">
      <alignment horizontal="right"/>
    </xf>
    <xf numFmtId="0" fontId="8" fillId="0" borderId="12" xfId="0" applyFont="1" applyBorder="1" applyAlignment="1">
      <alignment horizontal="right"/>
    </xf>
    <xf numFmtId="170" fontId="8" fillId="0" borderId="12" xfId="0" applyNumberFormat="1" applyFont="1" applyBorder="1"/>
    <xf numFmtId="170" fontId="28" fillId="0" borderId="13" xfId="0" applyNumberFormat="1" applyFont="1" applyBorder="1" applyAlignment="1">
      <alignment horizontal="center"/>
    </xf>
    <xf numFmtId="3" fontId="7" fillId="0" borderId="2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3" fontId="7" fillId="0" borderId="27" xfId="0" applyNumberFormat="1" applyFont="1" applyBorder="1" applyAlignment="1">
      <alignment horizontal="center"/>
    </xf>
    <xf numFmtId="1" fontId="28" fillId="0" borderId="26" xfId="0" applyNumberFormat="1" applyFont="1" applyBorder="1" applyAlignment="1">
      <alignment horizontal="center"/>
    </xf>
    <xf numFmtId="0" fontId="7" fillId="0" borderId="2" xfId="0" applyFont="1" applyBorder="1"/>
    <xf numFmtId="0" fontId="7" fillId="0" borderId="27" xfId="0" applyFont="1" applyBorder="1"/>
    <xf numFmtId="168" fontId="7" fillId="0" borderId="26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/>
    <xf numFmtId="17" fontId="8" fillId="0" borderId="0" xfId="0" applyNumberFormat="1" applyFont="1"/>
    <xf numFmtId="180" fontId="7" fillId="0" borderId="0" xfId="0" applyNumberFormat="1" applyFont="1"/>
    <xf numFmtId="0" fontId="8" fillId="0" borderId="28" xfId="0" applyFont="1" applyBorder="1" applyAlignment="1">
      <alignment horizontal="center"/>
    </xf>
    <xf numFmtId="173" fontId="7" fillId="0" borderId="29" xfId="0" applyNumberFormat="1" applyFont="1" applyBorder="1" applyAlignment="1">
      <alignment horizontal="center"/>
    </xf>
    <xf numFmtId="0" fontId="7" fillId="0" borderId="30" xfId="0" applyFont="1" applyBorder="1"/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1" fontId="8" fillId="0" borderId="37" xfId="0" applyNumberFormat="1" applyFont="1" applyBorder="1" applyAlignment="1">
      <alignment horizontal="center"/>
    </xf>
    <xf numFmtId="0" fontId="8" fillId="0" borderId="38" xfId="0" applyFont="1" applyBorder="1"/>
    <xf numFmtId="0" fontId="7" fillId="0" borderId="17" xfId="0" applyFont="1" applyBorder="1"/>
    <xf numFmtId="0" fontId="7" fillId="0" borderId="39" xfId="0" applyFont="1" applyBorder="1"/>
    <xf numFmtId="0" fontId="7" fillId="0" borderId="18" xfId="0" applyFont="1" applyBorder="1"/>
    <xf numFmtId="0" fontId="7" fillId="0" borderId="40" xfId="0" applyFont="1" applyBorder="1"/>
    <xf numFmtId="0" fontId="7" fillId="0" borderId="19" xfId="0" applyFont="1" applyBorder="1"/>
    <xf numFmtId="0" fontId="7" fillId="0" borderId="41" xfId="0" applyFont="1" applyBorder="1"/>
    <xf numFmtId="0" fontId="7" fillId="0" borderId="42" xfId="0" applyFont="1" applyBorder="1"/>
    <xf numFmtId="0" fontId="7" fillId="0" borderId="43" xfId="0" applyFont="1" applyBorder="1"/>
    <xf numFmtId="173" fontId="7" fillId="0" borderId="20" xfId="0" applyNumberFormat="1" applyFont="1" applyBorder="1" applyAlignment="1">
      <alignment horizontal="center"/>
    </xf>
    <xf numFmtId="0" fontId="28" fillId="0" borderId="13" xfId="0" applyFont="1" applyBorder="1"/>
    <xf numFmtId="0" fontId="7" fillId="0" borderId="13" xfId="0" applyFont="1" applyBorder="1"/>
    <xf numFmtId="0" fontId="33" fillId="0" borderId="0" xfId="0" applyFont="1"/>
    <xf numFmtId="0" fontId="28" fillId="0" borderId="13" xfId="0" quotePrefix="1" applyFont="1" applyBorder="1" applyAlignment="1">
      <alignment horizontal="left"/>
    </xf>
    <xf numFmtId="173" fontId="7" fillId="0" borderId="31" xfId="0" applyNumberFormat="1" applyFont="1" applyBorder="1" applyAlignment="1">
      <alignment horizontal="center"/>
    </xf>
    <xf numFmtId="0" fontId="28" fillId="0" borderId="35" xfId="0" quotePrefix="1" applyFont="1" applyBorder="1" applyAlignment="1">
      <alignment horizontal="left"/>
    </xf>
    <xf numFmtId="173" fontId="7" fillId="0" borderId="44" xfId="0" applyNumberFormat="1" applyFont="1" applyBorder="1" applyAlignment="1">
      <alignment horizontal="center"/>
    </xf>
    <xf numFmtId="0" fontId="28" fillId="0" borderId="10" xfId="0" quotePrefix="1" applyFont="1" applyBorder="1" applyAlignment="1">
      <alignment horizontal="left"/>
    </xf>
    <xf numFmtId="3" fontId="28" fillId="0" borderId="45" xfId="0" applyNumberFormat="1" applyFont="1" applyBorder="1" applyAlignment="1">
      <alignment horizontal="center"/>
    </xf>
    <xf numFmtId="3" fontId="28" fillId="0" borderId="6" xfId="0" applyNumberFormat="1" applyFon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28" fillId="0" borderId="26" xfId="0" applyNumberFormat="1" applyFont="1" applyBorder="1" applyAlignment="1">
      <alignment horizontal="center"/>
    </xf>
    <xf numFmtId="3" fontId="28" fillId="0" borderId="46" xfId="0" applyNumberFormat="1" applyFont="1" applyBorder="1" applyAlignment="1">
      <alignment horizontal="center"/>
    </xf>
    <xf numFmtId="173" fontId="28" fillId="0" borderId="6" xfId="0" applyNumberFormat="1" applyFont="1" applyBorder="1" applyAlignment="1">
      <alignment horizontal="center"/>
    </xf>
    <xf numFmtId="1" fontId="28" fillId="0" borderId="0" xfId="0" applyNumberFormat="1" applyFont="1" applyAlignment="1">
      <alignment horizontal="center"/>
    </xf>
    <xf numFmtId="1" fontId="28" fillId="0" borderId="46" xfId="0" applyNumberFormat="1" applyFont="1" applyBorder="1" applyAlignment="1">
      <alignment horizontal="center"/>
    </xf>
    <xf numFmtId="1" fontId="8" fillId="0" borderId="44" xfId="0" applyNumberFormat="1" applyFont="1" applyBorder="1" applyAlignment="1">
      <alignment horizontal="center"/>
    </xf>
    <xf numFmtId="0" fontId="8" fillId="0" borderId="10" xfId="0" applyFont="1" applyBorder="1"/>
    <xf numFmtId="168" fontId="7" fillId="0" borderId="0" xfId="0" applyNumberFormat="1" applyFont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7" fillId="0" borderId="46" xfId="0" applyNumberFormat="1" applyFont="1" applyBorder="1" applyAlignment="1">
      <alignment horizontal="center"/>
    </xf>
    <xf numFmtId="173" fontId="7" fillId="0" borderId="17" xfId="0" applyNumberFormat="1" applyFont="1" applyBorder="1" applyAlignment="1">
      <alignment horizontal="center"/>
    </xf>
    <xf numFmtId="168" fontId="7" fillId="0" borderId="37" xfId="0" applyNumberFormat="1" applyFont="1" applyBorder="1" applyAlignment="1">
      <alignment horizontal="center"/>
    </xf>
    <xf numFmtId="168" fontId="7" fillId="0" borderId="19" xfId="0" applyNumberFormat="1" applyFont="1" applyBorder="1" applyAlignment="1">
      <alignment horizontal="center"/>
    </xf>
    <xf numFmtId="168" fontId="7" fillId="0" borderId="41" xfId="0" applyNumberFormat="1" applyFont="1" applyBorder="1" applyAlignment="1">
      <alignment horizontal="center"/>
    </xf>
    <xf numFmtId="168" fontId="7" fillId="0" borderId="40" xfId="0" applyNumberFormat="1" applyFont="1" applyBorder="1" applyAlignment="1">
      <alignment horizontal="center"/>
    </xf>
    <xf numFmtId="170" fontId="7" fillId="0" borderId="39" xfId="0" applyNumberFormat="1" applyFont="1" applyBorder="1" applyAlignment="1">
      <alignment horizontal="center"/>
    </xf>
    <xf numFmtId="170" fontId="7" fillId="0" borderId="19" xfId="0" applyNumberFormat="1" applyFont="1" applyBorder="1" applyAlignment="1">
      <alignment horizontal="center"/>
    </xf>
    <xf numFmtId="170" fontId="7" fillId="0" borderId="43" xfId="0" applyNumberFormat="1" applyFont="1" applyBorder="1" applyAlignment="1">
      <alignment horizontal="center"/>
    </xf>
    <xf numFmtId="0" fontId="28" fillId="0" borderId="13" xfId="0" quotePrefix="1" applyFont="1" applyBorder="1"/>
    <xf numFmtId="170" fontId="7" fillId="0" borderId="20" xfId="0" applyNumberFormat="1" applyFont="1" applyBorder="1" applyAlignment="1">
      <alignment horizontal="center"/>
    </xf>
    <xf numFmtId="170" fontId="7" fillId="0" borderId="14" xfId="0" applyNumberFormat="1" applyFont="1" applyBorder="1" applyAlignment="1">
      <alignment horizontal="center"/>
    </xf>
    <xf numFmtId="170" fontId="7" fillId="0" borderId="21" xfId="0" applyNumberFormat="1" applyFont="1" applyBorder="1" applyAlignment="1">
      <alignment horizontal="center"/>
    </xf>
    <xf numFmtId="170" fontId="7" fillId="0" borderId="47" xfId="0" applyNumberFormat="1" applyFont="1" applyBorder="1" applyAlignment="1">
      <alignment horizontal="center"/>
    </xf>
    <xf numFmtId="0" fontId="7" fillId="0" borderId="35" xfId="0" applyFont="1" applyBorder="1"/>
    <xf numFmtId="170" fontId="7" fillId="0" borderId="31" xfId="0" applyNumberFormat="1" applyFont="1" applyBorder="1" applyAlignment="1">
      <alignment horizontal="center"/>
    </xf>
    <xf numFmtId="170" fontId="7" fillId="0" borderId="32" xfId="0" applyNumberFormat="1" applyFont="1" applyBorder="1" applyAlignment="1">
      <alignment horizontal="center"/>
    </xf>
    <xf numFmtId="170" fontId="7" fillId="0" borderId="33" xfId="0" applyNumberFormat="1" applyFont="1" applyBorder="1" applyAlignment="1">
      <alignment horizontal="center"/>
    </xf>
    <xf numFmtId="170" fontId="7" fillId="0" borderId="25" xfId="0" applyNumberFormat="1" applyFont="1" applyBorder="1" applyAlignment="1">
      <alignment horizontal="center"/>
    </xf>
    <xf numFmtId="173" fontId="7" fillId="0" borderId="48" xfId="0" applyNumberFormat="1" applyFont="1" applyBorder="1" applyAlignment="1">
      <alignment horizontal="center"/>
    </xf>
    <xf numFmtId="170" fontId="7" fillId="0" borderId="49" xfId="0" applyNumberFormat="1" applyFont="1" applyBorder="1" applyAlignment="1">
      <alignment horizontal="center"/>
    </xf>
    <xf numFmtId="170" fontId="7" fillId="0" borderId="50" xfId="0" applyNumberFormat="1" applyFont="1" applyBorder="1" applyAlignment="1">
      <alignment horizontal="center"/>
    </xf>
    <xf numFmtId="0" fontId="28" fillId="0" borderId="0" xfId="0" quotePrefix="1" applyFont="1"/>
    <xf numFmtId="1" fontId="7" fillId="0" borderId="0" xfId="0" applyNumberFormat="1" applyFont="1" applyAlignment="1">
      <alignment horizontal="center"/>
    </xf>
    <xf numFmtId="1" fontId="7" fillId="0" borderId="48" xfId="0" applyNumberFormat="1" applyFont="1" applyBorder="1" applyAlignment="1">
      <alignment horizontal="center"/>
    </xf>
    <xf numFmtId="1" fontId="8" fillId="0" borderId="17" xfId="0" applyNumberFormat="1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182" fontId="8" fillId="0" borderId="37" xfId="0" applyNumberFormat="1" applyFont="1" applyBorder="1" applyAlignment="1">
      <alignment horizontal="center" vertical="center"/>
    </xf>
    <xf numFmtId="1" fontId="8" fillId="0" borderId="42" xfId="0" applyNumberFormat="1" applyFont="1" applyBorder="1" applyAlignment="1">
      <alignment horizontal="center" vertical="center"/>
    </xf>
    <xf numFmtId="182" fontId="8" fillId="0" borderId="18" xfId="0" applyNumberFormat="1" applyFont="1" applyBorder="1" applyAlignment="1">
      <alignment horizontal="center" vertical="center" wrapText="1"/>
    </xf>
    <xf numFmtId="1" fontId="8" fillId="0" borderId="42" xfId="0" applyNumberFormat="1" applyFont="1" applyBorder="1" applyAlignment="1">
      <alignment horizontal="center" vertical="center" wrapText="1"/>
    </xf>
    <xf numFmtId="1" fontId="8" fillId="0" borderId="38" xfId="0" applyNumberFormat="1" applyFont="1" applyBorder="1" applyAlignment="1">
      <alignment horizontal="center" vertical="center" wrapText="1"/>
    </xf>
    <xf numFmtId="182" fontId="8" fillId="0" borderId="0" xfId="0" applyNumberFormat="1" applyFont="1" applyAlignment="1">
      <alignment horizontal="center"/>
    </xf>
    <xf numFmtId="3" fontId="7" fillId="0" borderId="51" xfId="0" applyNumberFormat="1" applyFont="1" applyBorder="1" applyAlignment="1">
      <alignment horizontal="center"/>
    </xf>
    <xf numFmtId="190" fontId="7" fillId="0" borderId="12" xfId="0" applyNumberFormat="1" applyFont="1" applyBorder="1" applyAlignment="1">
      <alignment horizontal="center"/>
    </xf>
    <xf numFmtId="170" fontId="7" fillId="0" borderId="52" xfId="0" applyNumberFormat="1" applyFont="1" applyBorder="1" applyAlignment="1">
      <alignment horizontal="center"/>
    </xf>
    <xf numFmtId="1" fontId="7" fillId="0" borderId="51" xfId="0" applyNumberFormat="1" applyFont="1" applyBorder="1" applyAlignment="1">
      <alignment horizontal="center"/>
    </xf>
    <xf numFmtId="1" fontId="7" fillId="0" borderId="53" xfId="0" applyNumberFormat="1" applyFont="1" applyBorder="1" applyAlignment="1">
      <alignment horizontal="center"/>
    </xf>
    <xf numFmtId="190" fontId="7" fillId="0" borderId="34" xfId="0" applyNumberFormat="1" applyFont="1" applyBorder="1" applyAlignment="1">
      <alignment horizontal="center"/>
    </xf>
    <xf numFmtId="170" fontId="7" fillId="0" borderId="54" xfId="0" applyNumberFormat="1" applyFont="1" applyBorder="1" applyAlignment="1">
      <alignment horizontal="center"/>
    </xf>
    <xf numFmtId="173" fontId="28" fillId="0" borderId="48" xfId="0" applyNumberFormat="1" applyFont="1" applyBorder="1" applyAlignment="1">
      <alignment horizontal="left"/>
    </xf>
    <xf numFmtId="190" fontId="7" fillId="0" borderId="0" xfId="0" applyNumberFormat="1" applyFont="1" applyAlignment="1">
      <alignment horizontal="center"/>
    </xf>
    <xf numFmtId="181" fontId="7" fillId="0" borderId="49" xfId="0" applyNumberFormat="1" applyFont="1" applyBorder="1" applyAlignment="1">
      <alignment horizontal="center"/>
    </xf>
    <xf numFmtId="170" fontId="7" fillId="0" borderId="55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190" fontId="7" fillId="0" borderId="56" xfId="0" applyNumberFormat="1" applyFont="1" applyBorder="1" applyAlignment="1">
      <alignment horizontal="center"/>
    </xf>
    <xf numFmtId="173" fontId="28" fillId="0" borderId="48" xfId="0" applyNumberFormat="1" applyFont="1" applyBorder="1" applyAlignment="1">
      <alignment horizontal="center"/>
    </xf>
    <xf numFmtId="0" fontId="7" fillId="0" borderId="0" xfId="0" quotePrefix="1" applyFont="1"/>
    <xf numFmtId="1" fontId="7" fillId="0" borderId="57" xfId="0" applyNumberFormat="1" applyFont="1" applyBorder="1" applyAlignment="1">
      <alignment horizontal="center"/>
    </xf>
    <xf numFmtId="190" fontId="7" fillId="0" borderId="29" xfId="0" applyNumberFormat="1" applyFont="1" applyBorder="1" applyAlignment="1">
      <alignment horizontal="center"/>
    </xf>
    <xf numFmtId="190" fontId="7" fillId="0" borderId="30" xfId="0" applyNumberFormat="1" applyFont="1" applyBorder="1" applyAlignment="1">
      <alignment horizontal="center"/>
    </xf>
    <xf numFmtId="1" fontId="8" fillId="0" borderId="58" xfId="0" applyNumberFormat="1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182" fontId="8" fillId="0" borderId="60" xfId="0" applyNumberFormat="1" applyFont="1" applyBorder="1" applyAlignment="1">
      <alignment horizontal="center" vertical="center" wrapText="1"/>
    </xf>
    <xf numFmtId="182" fontId="8" fillId="0" borderId="61" xfId="0" applyNumberFormat="1" applyFont="1" applyBorder="1" applyAlignment="1">
      <alignment horizontal="center" vertical="center" wrapText="1"/>
    </xf>
    <xf numFmtId="1" fontId="7" fillId="0" borderId="62" xfId="0" applyNumberFormat="1" applyFont="1" applyBorder="1" applyAlignment="1">
      <alignment horizontal="center"/>
    </xf>
    <xf numFmtId="190" fontId="7" fillId="0" borderId="63" xfId="0" applyNumberFormat="1" applyFont="1" applyBorder="1" applyAlignment="1">
      <alignment horizontal="center"/>
    </xf>
    <xf numFmtId="173" fontId="7" fillId="0" borderId="64" xfId="0" applyNumberFormat="1" applyFont="1" applyBorder="1" applyAlignment="1">
      <alignment horizontal="center"/>
    </xf>
    <xf numFmtId="0" fontId="7" fillId="0" borderId="7" xfId="0" applyFont="1" applyBorder="1"/>
    <xf numFmtId="190" fontId="7" fillId="0" borderId="65" xfId="0" applyNumberFormat="1" applyFont="1" applyBorder="1" applyAlignment="1">
      <alignment horizontal="center"/>
    </xf>
    <xf numFmtId="180" fontId="7" fillId="0" borderId="65" xfId="0" applyNumberFormat="1" applyFont="1" applyBorder="1" applyAlignment="1">
      <alignment horizontal="center"/>
    </xf>
    <xf numFmtId="170" fontId="7" fillId="0" borderId="65" xfId="0" applyNumberFormat="1" applyFont="1" applyBorder="1" applyAlignment="1">
      <alignment horizontal="center"/>
    </xf>
    <xf numFmtId="3" fontId="7" fillId="0" borderId="65" xfId="0" applyNumberFormat="1" applyFont="1" applyBorder="1" applyAlignment="1">
      <alignment horizontal="center"/>
    </xf>
    <xf numFmtId="2" fontId="7" fillId="0" borderId="64" xfId="0" applyNumberFormat="1" applyFont="1" applyBorder="1" applyAlignment="1">
      <alignment horizontal="center"/>
    </xf>
    <xf numFmtId="2" fontId="15" fillId="0" borderId="31" xfId="0" applyNumberFormat="1" applyFont="1" applyBorder="1" applyAlignment="1">
      <alignment horizontal="center"/>
    </xf>
    <xf numFmtId="0" fontId="28" fillId="0" borderId="66" xfId="0" applyFont="1" applyBorder="1"/>
    <xf numFmtId="1" fontId="7" fillId="0" borderId="67" xfId="0" applyNumberFormat="1" applyFont="1" applyBorder="1" applyAlignment="1">
      <alignment horizontal="center"/>
    </xf>
    <xf numFmtId="190" fontId="7" fillId="0" borderId="67" xfId="0" applyNumberFormat="1" applyFont="1" applyBorder="1" applyAlignment="1">
      <alignment horizontal="center"/>
    </xf>
    <xf numFmtId="17" fontId="4" fillId="0" borderId="0" xfId="0" quotePrefix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3" fontId="7" fillId="0" borderId="0" xfId="0" applyNumberFormat="1" applyFont="1" applyAlignment="1">
      <alignment horizontal="left"/>
    </xf>
    <xf numFmtId="170" fontId="16" fillId="0" borderId="50" xfId="0" applyNumberFormat="1" applyFont="1" applyBorder="1"/>
    <xf numFmtId="170" fontId="16" fillId="0" borderId="49" xfId="0" applyNumberFormat="1" applyFont="1" applyBorder="1"/>
    <xf numFmtId="170" fontId="16" fillId="0" borderId="55" xfId="0" applyNumberFormat="1" applyFont="1" applyBorder="1"/>
    <xf numFmtId="170" fontId="16" fillId="0" borderId="69" xfId="0" applyNumberFormat="1" applyFont="1" applyBorder="1"/>
    <xf numFmtId="170" fontId="0" fillId="0" borderId="55" xfId="0" applyNumberFormat="1" applyBorder="1"/>
    <xf numFmtId="170" fontId="16" fillId="0" borderId="72" xfId="0" applyNumberFormat="1" applyFont="1" applyBorder="1" applyAlignment="1">
      <alignment horizontal="center"/>
    </xf>
    <xf numFmtId="170" fontId="16" fillId="0" borderId="44" xfId="0" applyNumberFormat="1" applyFont="1" applyBorder="1" applyAlignment="1">
      <alignment horizontal="center"/>
    </xf>
    <xf numFmtId="49" fontId="9" fillId="0" borderId="73" xfId="0" applyNumberFormat="1" applyFont="1" applyBorder="1" applyAlignment="1">
      <alignment horizontal="center"/>
    </xf>
    <xf numFmtId="49" fontId="9" fillId="0" borderId="64" xfId="0" applyNumberFormat="1" applyFont="1" applyBorder="1"/>
    <xf numFmtId="49" fontId="0" fillId="0" borderId="74" xfId="0" applyNumberFormat="1" applyBorder="1"/>
    <xf numFmtId="170" fontId="16" fillId="0" borderId="10" xfId="0" applyNumberFormat="1" applyFont="1" applyBorder="1" applyAlignment="1">
      <alignment horizontal="center"/>
    </xf>
    <xf numFmtId="49" fontId="16" fillId="0" borderId="73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49" fontId="16" fillId="0" borderId="10" xfId="0" applyNumberFormat="1" applyFont="1" applyBorder="1" applyAlignment="1">
      <alignment horizontal="center"/>
    </xf>
    <xf numFmtId="49" fontId="9" fillId="0" borderId="44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170" fontId="16" fillId="0" borderId="75" xfId="0" applyNumberFormat="1" applyFont="1" applyBorder="1"/>
    <xf numFmtId="170" fontId="16" fillId="0" borderId="11" xfId="0" applyNumberFormat="1" applyFont="1" applyBorder="1"/>
    <xf numFmtId="49" fontId="16" fillId="0" borderId="76" xfId="0" applyNumberFormat="1" applyFont="1" applyBorder="1"/>
    <xf numFmtId="49" fontId="16" fillId="0" borderId="5" xfId="0" applyNumberFormat="1" applyFont="1" applyBorder="1"/>
    <xf numFmtId="49" fontId="16" fillId="0" borderId="3" xfId="0" applyNumberFormat="1" applyFont="1" applyBorder="1" applyAlignment="1">
      <alignment horizontal="center"/>
    </xf>
    <xf numFmtId="49" fontId="5" fillId="0" borderId="75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76" xfId="0" quotePrefix="1" applyNumberFormat="1" applyFont="1" applyBorder="1" applyAlignment="1">
      <alignment horizontal="center"/>
    </xf>
    <xf numFmtId="49" fontId="5" fillId="0" borderId="3" xfId="0" quotePrefix="1" applyNumberFormat="1" applyFont="1" applyBorder="1" applyAlignment="1">
      <alignment horizontal="center"/>
    </xf>
    <xf numFmtId="49" fontId="5" fillId="0" borderId="71" xfId="0" quotePrefix="1" applyNumberFormat="1" applyFont="1" applyBorder="1" applyAlignment="1">
      <alignment horizontal="center"/>
    </xf>
    <xf numFmtId="180" fontId="4" fillId="0" borderId="76" xfId="0" applyNumberFormat="1" applyFont="1" applyBorder="1" applyAlignment="1">
      <alignment horizontal="center"/>
    </xf>
    <xf numFmtId="3" fontId="4" fillId="0" borderId="20" xfId="0" quotePrefix="1" applyNumberFormat="1" applyFont="1" applyBorder="1" applyAlignment="1">
      <alignment horizontal="center"/>
    </xf>
    <xf numFmtId="173" fontId="0" fillId="0" borderId="0" xfId="0" applyNumberFormat="1" applyAlignment="1">
      <alignment horizontal="center"/>
    </xf>
    <xf numFmtId="180" fontId="0" fillId="0" borderId="0" xfId="0" applyNumberFormat="1"/>
    <xf numFmtId="0" fontId="5" fillId="0" borderId="0" xfId="0" applyFont="1" applyAlignment="1">
      <alignment horizontal="center"/>
    </xf>
    <xf numFmtId="173" fontId="0" fillId="0" borderId="0" xfId="0" applyNumberFormat="1"/>
    <xf numFmtId="170" fontId="28" fillId="0" borderId="10" xfId="0" applyNumberFormat="1" applyFont="1" applyBorder="1" applyAlignment="1">
      <alignment horizontal="center"/>
    </xf>
    <xf numFmtId="3" fontId="7" fillId="0" borderId="20" xfId="0" applyNumberFormat="1" applyFont="1" applyBorder="1" applyAlignment="1">
      <alignment horizontal="center"/>
    </xf>
    <xf numFmtId="1" fontId="8" fillId="0" borderId="0" xfId="0" applyNumberFormat="1" applyFont="1"/>
    <xf numFmtId="181" fontId="0" fillId="0" borderId="0" xfId="0" applyNumberFormat="1"/>
    <xf numFmtId="170" fontId="4" fillId="0" borderId="0" xfId="0" quotePrefix="1" applyNumberFormat="1" applyFont="1" applyAlignment="1">
      <alignment horizontal="center"/>
    </xf>
    <xf numFmtId="170" fontId="23" fillId="0" borderId="0" xfId="0" applyNumberFormat="1" applyFont="1"/>
    <xf numFmtId="170" fontId="24" fillId="0" borderId="0" xfId="0" applyNumberFormat="1" applyFont="1"/>
    <xf numFmtId="0" fontId="27" fillId="0" borderId="0" xfId="0" applyFont="1" applyAlignment="1">
      <alignment horizontal="left"/>
    </xf>
    <xf numFmtId="170" fontId="20" fillId="0" borderId="0" xfId="0" applyNumberFormat="1" applyFont="1"/>
    <xf numFmtId="170" fontId="21" fillId="0" borderId="0" xfId="0" applyNumberFormat="1" applyFont="1" applyAlignment="1">
      <alignment horizontal="right"/>
    </xf>
    <xf numFmtId="170" fontId="19" fillId="0" borderId="0" xfId="0" applyNumberFormat="1" applyFont="1"/>
    <xf numFmtId="3" fontId="19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170" fontId="21" fillId="0" borderId="0" xfId="0" applyNumberFormat="1" applyFont="1"/>
    <xf numFmtId="177" fontId="19" fillId="0" borderId="0" xfId="0" applyNumberFormat="1" applyFont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87" xfId="0" applyFont="1" applyBorder="1" applyAlignment="1">
      <alignment horizontal="centerContinuous"/>
    </xf>
    <xf numFmtId="188" fontId="23" fillId="0" borderId="22" xfId="0" applyNumberFormat="1" applyFont="1" applyBorder="1" applyAlignment="1">
      <alignment horizontal="center"/>
    </xf>
    <xf numFmtId="9" fontId="23" fillId="0" borderId="22" xfId="0" applyNumberFormat="1" applyFont="1" applyBorder="1" applyAlignment="1">
      <alignment horizontal="center"/>
    </xf>
    <xf numFmtId="188" fontId="23" fillId="0" borderId="15" xfId="0" applyNumberFormat="1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88" xfId="0" applyFont="1" applyBorder="1" applyAlignment="1">
      <alignment horizontal="center"/>
    </xf>
    <xf numFmtId="188" fontId="23" fillId="0" borderId="23" xfId="0" applyNumberFormat="1" applyFont="1" applyBorder="1" applyAlignment="1">
      <alignment horizontal="center"/>
    </xf>
    <xf numFmtId="9" fontId="23" fillId="0" borderId="23" xfId="0" applyNumberFormat="1" applyFont="1" applyBorder="1" applyAlignment="1">
      <alignment horizontal="center"/>
    </xf>
    <xf numFmtId="188" fontId="23" fillId="0" borderId="0" xfId="0" applyNumberFormat="1" applyFont="1" applyAlignment="1">
      <alignment horizontal="center"/>
    </xf>
    <xf numFmtId="0" fontId="27" fillId="0" borderId="0" xfId="0" quotePrefix="1" applyFont="1" applyAlignment="1">
      <alignment horizontal="center"/>
    </xf>
    <xf numFmtId="0" fontId="27" fillId="0" borderId="0" xfId="0" applyFont="1" applyAlignment="1">
      <alignment horizontal="center"/>
    </xf>
    <xf numFmtId="2" fontId="27" fillId="0" borderId="0" xfId="0" applyNumberFormat="1" applyFont="1" applyAlignment="1">
      <alignment horizontal="center"/>
    </xf>
    <xf numFmtId="4" fontId="27" fillId="0" borderId="0" xfId="0" applyNumberFormat="1" applyFont="1" applyAlignment="1">
      <alignment horizontal="right"/>
    </xf>
    <xf numFmtId="9" fontId="27" fillId="0" borderId="0" xfId="4" applyFont="1" applyAlignment="1">
      <alignment horizontal="center"/>
    </xf>
    <xf numFmtId="180" fontId="19" fillId="0" borderId="0" xfId="0" applyNumberFormat="1" applyFont="1"/>
    <xf numFmtId="2" fontId="19" fillId="0" borderId="0" xfId="0" applyNumberFormat="1" applyFont="1"/>
    <xf numFmtId="49" fontId="9" fillId="0" borderId="56" xfId="0" applyNumberFormat="1" applyFont="1" applyBorder="1" applyAlignment="1">
      <alignment horizontal="center"/>
    </xf>
    <xf numFmtId="180" fontId="28" fillId="0" borderId="6" xfId="0" applyNumberFormat="1" applyFont="1" applyBorder="1" applyAlignment="1">
      <alignment horizontal="center"/>
    </xf>
    <xf numFmtId="187" fontId="19" fillId="0" borderId="2" xfId="0" applyNumberFormat="1" applyFont="1" applyBorder="1" applyAlignment="1">
      <alignment horizontal="center"/>
    </xf>
    <xf numFmtId="17" fontId="7" fillId="0" borderId="0" xfId="0" applyNumberFormat="1" applyFont="1"/>
    <xf numFmtId="175" fontId="4" fillId="0" borderId="0" xfId="0" applyNumberFormat="1" applyFont="1" applyAlignment="1">
      <alignment horizontal="center"/>
    </xf>
    <xf numFmtId="180" fontId="4" fillId="0" borderId="3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170" fontId="4" fillId="0" borderId="3" xfId="0" applyNumberFormat="1" applyFont="1" applyBorder="1" applyAlignment="1">
      <alignment horizontal="centerContinuous"/>
    </xf>
    <xf numFmtId="185" fontId="19" fillId="0" borderId="88" xfId="0" applyNumberFormat="1" applyFont="1" applyBorder="1" applyAlignment="1">
      <alignment horizontal="center"/>
    </xf>
    <xf numFmtId="186" fontId="19" fillId="0" borderId="88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89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3" fontId="7" fillId="0" borderId="13" xfId="0" applyNumberFormat="1" applyFont="1" applyBorder="1" applyAlignment="1">
      <alignment horizontal="center"/>
    </xf>
    <xf numFmtId="3" fontId="7" fillId="0" borderId="90" xfId="0" applyNumberFormat="1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47" xfId="0" applyFont="1" applyBorder="1" applyAlignment="1">
      <alignment horizontal="center"/>
    </xf>
    <xf numFmtId="0" fontId="28" fillId="0" borderId="89" xfId="0" applyFont="1" applyBorder="1" applyAlignment="1">
      <alignment horizontal="center"/>
    </xf>
    <xf numFmtId="3" fontId="28" fillId="0" borderId="90" xfId="0" applyNumberFormat="1" applyFont="1" applyBorder="1" applyAlignment="1">
      <alignment horizontal="center"/>
    </xf>
    <xf numFmtId="3" fontId="35" fillId="0" borderId="20" xfId="0" applyNumberFormat="1" applyFont="1" applyBorder="1" applyAlignment="1">
      <alignment horizontal="center"/>
    </xf>
    <xf numFmtId="3" fontId="35" fillId="0" borderId="14" xfId="0" applyNumberFormat="1" applyFont="1" applyBorder="1" applyAlignment="1">
      <alignment horizontal="center"/>
    </xf>
    <xf numFmtId="3" fontId="35" fillId="0" borderId="47" xfId="0" applyNumberFormat="1" applyFont="1" applyBorder="1" applyAlignment="1">
      <alignment horizontal="center"/>
    </xf>
    <xf numFmtId="3" fontId="7" fillId="0" borderId="89" xfId="0" applyNumberFormat="1" applyFont="1" applyBorder="1" applyAlignment="1">
      <alignment horizontal="center"/>
    </xf>
    <xf numFmtId="3" fontId="7" fillId="0" borderId="47" xfId="0" applyNumberFormat="1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180" fontId="35" fillId="0" borderId="20" xfId="0" applyNumberFormat="1" applyFont="1" applyBorder="1" applyAlignment="1">
      <alignment horizontal="center"/>
    </xf>
    <xf numFmtId="180" fontId="35" fillId="0" borderId="14" xfId="0" applyNumberFormat="1" applyFont="1" applyBorder="1" applyAlignment="1">
      <alignment horizontal="center"/>
    </xf>
    <xf numFmtId="180" fontId="35" fillId="0" borderId="47" xfId="0" applyNumberFormat="1" applyFont="1" applyBorder="1" applyAlignment="1">
      <alignment horizontal="center"/>
    </xf>
    <xf numFmtId="180" fontId="7" fillId="0" borderId="89" xfId="0" applyNumberFormat="1" applyFont="1" applyBorder="1" applyAlignment="1">
      <alignment horizontal="center"/>
    </xf>
    <xf numFmtId="180" fontId="7" fillId="0" borderId="47" xfId="0" applyNumberFormat="1" applyFont="1" applyBorder="1" applyAlignment="1">
      <alignment horizontal="center"/>
    </xf>
    <xf numFmtId="180" fontId="7" fillId="0" borderId="14" xfId="0" applyNumberFormat="1" applyFont="1" applyBorder="1" applyAlignment="1">
      <alignment horizontal="center"/>
    </xf>
    <xf numFmtId="180" fontId="7" fillId="0" borderId="13" xfId="0" applyNumberFormat="1" applyFont="1" applyBorder="1" applyAlignment="1">
      <alignment horizontal="center"/>
    </xf>
    <xf numFmtId="180" fontId="7" fillId="0" borderId="90" xfId="0" applyNumberFormat="1" applyFont="1" applyBorder="1" applyAlignment="1">
      <alignment horizontal="center"/>
    </xf>
    <xf numFmtId="180" fontId="7" fillId="0" borderId="20" xfId="0" applyNumberFormat="1" applyFont="1" applyBorder="1" applyAlignment="1">
      <alignment horizontal="center"/>
    </xf>
    <xf numFmtId="3" fontId="28" fillId="0" borderId="20" xfId="0" applyNumberFormat="1" applyFont="1" applyBorder="1" applyAlignment="1">
      <alignment horizontal="center"/>
    </xf>
    <xf numFmtId="3" fontId="28" fillId="0" borderId="14" xfId="0" applyNumberFormat="1" applyFont="1" applyBorder="1" applyAlignment="1">
      <alignment horizontal="center"/>
    </xf>
    <xf numFmtId="3" fontId="28" fillId="0" borderId="47" xfId="0" applyNumberFormat="1" applyFont="1" applyBorder="1" applyAlignment="1">
      <alignment horizontal="center"/>
    </xf>
    <xf numFmtId="3" fontId="28" fillId="0" borderId="89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3" fontId="28" fillId="0" borderId="32" xfId="0" applyNumberFormat="1" applyFont="1" applyBorder="1" applyAlignment="1">
      <alignment horizontal="center"/>
    </xf>
    <xf numFmtId="3" fontId="28" fillId="0" borderId="33" xfId="0" applyNumberFormat="1" applyFont="1" applyBorder="1" applyAlignment="1">
      <alignment horizontal="center"/>
    </xf>
    <xf numFmtId="3" fontId="28" fillId="0" borderId="91" xfId="0" applyNumberFormat="1" applyFont="1" applyBorder="1" applyAlignment="1">
      <alignment horizontal="center"/>
    </xf>
    <xf numFmtId="3" fontId="7" fillId="0" borderId="33" xfId="0" applyNumberFormat="1" applyFont="1" applyBorder="1" applyAlignment="1">
      <alignment horizontal="center"/>
    </xf>
    <xf numFmtId="3" fontId="7" fillId="0" borderId="32" xfId="0" applyNumberFormat="1" applyFont="1" applyBorder="1" applyAlignment="1">
      <alignment horizontal="center"/>
    </xf>
    <xf numFmtId="3" fontId="7" fillId="0" borderId="35" xfId="0" applyNumberFormat="1" applyFont="1" applyBorder="1" applyAlignment="1">
      <alignment horizontal="center"/>
    </xf>
    <xf numFmtId="3" fontId="7" fillId="0" borderId="36" xfId="0" applyNumberFormat="1" applyFont="1" applyBorder="1" applyAlignment="1">
      <alignment horizontal="center"/>
    </xf>
    <xf numFmtId="170" fontId="28" fillId="0" borderId="20" xfId="0" applyNumberFormat="1" applyFont="1" applyBorder="1" applyAlignment="1">
      <alignment horizontal="center"/>
    </xf>
    <xf numFmtId="170" fontId="28" fillId="0" borderId="14" xfId="0" applyNumberFormat="1" applyFont="1" applyBorder="1" applyAlignment="1">
      <alignment horizontal="center"/>
    </xf>
    <xf numFmtId="170" fontId="28" fillId="0" borderId="47" xfId="0" applyNumberFormat="1" applyFont="1" applyBorder="1" applyAlignment="1">
      <alignment horizontal="center"/>
    </xf>
    <xf numFmtId="170" fontId="28" fillId="0" borderId="12" xfId="0" applyNumberFormat="1" applyFont="1" applyBorder="1" applyAlignment="1">
      <alignment horizontal="center"/>
    </xf>
    <xf numFmtId="168" fontId="28" fillId="0" borderId="47" xfId="0" applyNumberFormat="1" applyFont="1" applyBorder="1" applyAlignment="1">
      <alignment horizontal="center"/>
    </xf>
    <xf numFmtId="170" fontId="28" fillId="0" borderId="90" xfId="0" applyNumberFormat="1" applyFont="1" applyBorder="1" applyAlignment="1">
      <alignment horizontal="center"/>
    </xf>
    <xf numFmtId="170" fontId="28" fillId="0" borderId="51" xfId="0" applyNumberFormat="1" applyFont="1" applyBorder="1" applyAlignment="1">
      <alignment horizontal="center"/>
    </xf>
    <xf numFmtId="170" fontId="7" fillId="0" borderId="13" xfId="0" applyNumberFormat="1" applyFont="1" applyBorder="1" applyAlignment="1">
      <alignment horizontal="center"/>
    </xf>
    <xf numFmtId="170" fontId="7" fillId="0" borderId="90" xfId="0" applyNumberFormat="1" applyFont="1" applyBorder="1" applyAlignment="1">
      <alignment horizontal="center"/>
    </xf>
    <xf numFmtId="170" fontId="7" fillId="0" borderId="34" xfId="0" applyNumberFormat="1" applyFont="1" applyBorder="1" applyAlignment="1">
      <alignment horizontal="center"/>
    </xf>
    <xf numFmtId="170" fontId="7" fillId="0" borderId="35" xfId="0" applyNumberFormat="1" applyFont="1" applyBorder="1" applyAlignment="1">
      <alignment horizontal="center"/>
    </xf>
    <xf numFmtId="170" fontId="7" fillId="0" borderId="92" xfId="0" applyNumberFormat="1" applyFont="1" applyBorder="1" applyAlignment="1">
      <alignment horizontal="center"/>
    </xf>
    <xf numFmtId="181" fontId="7" fillId="0" borderId="12" xfId="0" applyNumberFormat="1" applyFont="1" applyBorder="1" applyAlignment="1">
      <alignment horizontal="center"/>
    </xf>
    <xf numFmtId="0" fontId="4" fillId="0" borderId="0" xfId="0" quotePrefix="1" applyFont="1"/>
    <xf numFmtId="3" fontId="10" fillId="0" borderId="77" xfId="0" applyNumberFormat="1" applyFont="1" applyBorder="1" applyAlignment="1">
      <alignment horizontal="center"/>
    </xf>
    <xf numFmtId="3" fontId="10" fillId="0" borderId="80" xfId="0" applyNumberFormat="1" applyFont="1" applyBorder="1" applyAlignment="1">
      <alignment horizontal="center"/>
    </xf>
    <xf numFmtId="170" fontId="4" fillId="0" borderId="49" xfId="0" applyNumberFormat="1" applyFont="1" applyBorder="1"/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170" fontId="10" fillId="0" borderId="79" xfId="0" applyNumberFormat="1" applyFont="1" applyBorder="1" applyAlignment="1">
      <alignment horizontal="center"/>
    </xf>
    <xf numFmtId="44" fontId="10" fillId="0" borderId="79" xfId="2" applyFont="1" applyBorder="1" applyAlignment="1">
      <alignment horizontal="center"/>
    </xf>
    <xf numFmtId="49" fontId="7" fillId="0" borderId="0" xfId="0" applyNumberFormat="1" applyFont="1"/>
    <xf numFmtId="49" fontId="8" fillId="0" borderId="0" xfId="0" applyNumberFormat="1" applyFont="1"/>
    <xf numFmtId="0" fontId="22" fillId="0" borderId="15" xfId="0" applyFont="1" applyBorder="1" applyAlignment="1">
      <alignment horizontal="left"/>
    </xf>
    <xf numFmtId="2" fontId="20" fillId="0" borderId="0" xfId="0" applyNumberFormat="1" applyFont="1" applyAlignment="1">
      <alignment horizontal="center"/>
    </xf>
    <xf numFmtId="0" fontId="32" fillId="0" borderId="5" xfId="0" applyFont="1" applyBorder="1" applyAlignment="1">
      <alignment horizontal="left"/>
    </xf>
    <xf numFmtId="0" fontId="32" fillId="0" borderId="2" xfId="0" applyFont="1" applyBorder="1" applyAlignment="1">
      <alignment horizontal="center"/>
    </xf>
    <xf numFmtId="0" fontId="32" fillId="0" borderId="93" xfId="0" applyFont="1" applyBorder="1" applyAlignment="1">
      <alignment horizontal="center"/>
    </xf>
    <xf numFmtId="185" fontId="19" fillId="0" borderId="2" xfId="0" applyNumberFormat="1" applyFont="1" applyBorder="1" applyAlignment="1">
      <alignment horizontal="center"/>
    </xf>
    <xf numFmtId="0" fontId="32" fillId="0" borderId="94" xfId="0" applyFont="1" applyBorder="1" applyAlignment="1">
      <alignment horizontal="center"/>
    </xf>
    <xf numFmtId="0" fontId="0" fillId="0" borderId="2" xfId="0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81" fontId="0" fillId="0" borderId="2" xfId="0" applyNumberFormat="1" applyBorder="1" applyAlignment="1">
      <alignment horizontal="center"/>
    </xf>
    <xf numFmtId="168" fontId="0" fillId="0" borderId="0" xfId="0" applyNumberFormat="1"/>
    <xf numFmtId="0" fontId="37" fillId="0" borderId="0" xfId="0" applyFont="1" applyAlignment="1">
      <alignment horizontal="center"/>
    </xf>
    <xf numFmtId="2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left"/>
    </xf>
    <xf numFmtId="170" fontId="38" fillId="0" borderId="0" xfId="0" applyNumberFormat="1" applyFont="1"/>
    <xf numFmtId="170" fontId="5" fillId="0" borderId="0" xfId="0" applyNumberFormat="1" applyFont="1"/>
    <xf numFmtId="17" fontId="19" fillId="0" borderId="0" xfId="0" applyNumberFormat="1" applyFont="1"/>
    <xf numFmtId="176" fontId="38" fillId="0" borderId="0" xfId="0" applyNumberFormat="1" applyFont="1"/>
    <xf numFmtId="170" fontId="29" fillId="0" borderId="0" xfId="0" applyNumberFormat="1" applyFont="1"/>
    <xf numFmtId="193" fontId="29" fillId="0" borderId="0" xfId="0" applyNumberFormat="1" applyFont="1"/>
    <xf numFmtId="0" fontId="5" fillId="3" borderId="0" xfId="0" applyFont="1" applyFill="1" applyAlignment="1">
      <alignment horizontal="left"/>
    </xf>
    <xf numFmtId="3" fontId="4" fillId="0" borderId="75" xfId="0" quotePrefix="1" applyNumberFormat="1" applyFont="1" applyBorder="1" applyAlignment="1">
      <alignment horizontal="center"/>
    </xf>
    <xf numFmtId="180" fontId="4" fillId="0" borderId="11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170" fontId="16" fillId="0" borderId="4" xfId="0" applyNumberFormat="1" applyFont="1" applyBorder="1"/>
    <xf numFmtId="49" fontId="16" fillId="0" borderId="56" xfId="0" applyNumberFormat="1" applyFont="1" applyBorder="1" applyAlignment="1">
      <alignment horizontal="center"/>
    </xf>
    <xf numFmtId="49" fontId="16" fillId="0" borderId="71" xfId="0" applyNumberFormat="1" applyFont="1" applyBorder="1"/>
    <xf numFmtId="49" fontId="16" fillId="0" borderId="44" xfId="0" applyNumberFormat="1" applyFont="1" applyBorder="1" applyAlignment="1">
      <alignment horizontal="center"/>
    </xf>
    <xf numFmtId="1" fontId="16" fillId="0" borderId="98" xfId="0" applyNumberFormat="1" applyFont="1" applyBorder="1" applyAlignment="1">
      <alignment horizontal="center"/>
    </xf>
    <xf numFmtId="170" fontId="34" fillId="0" borderId="49" xfId="0" applyNumberFormat="1" applyFont="1" applyBorder="1"/>
    <xf numFmtId="1" fontId="16" fillId="0" borderId="56" xfId="0" applyNumberFormat="1" applyFont="1" applyBorder="1" applyAlignment="1">
      <alignment horizontal="center"/>
    </xf>
    <xf numFmtId="3" fontId="10" fillId="0" borderId="66" xfId="0" applyNumberFormat="1" applyFont="1" applyBorder="1" applyAlignment="1">
      <alignment horizontal="center"/>
    </xf>
    <xf numFmtId="3" fontId="10" fillId="0" borderId="81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180" fontId="36" fillId="0" borderId="82" xfId="0" applyNumberFormat="1" applyFont="1" applyBorder="1" applyAlignment="1">
      <alignment horizontal="center" vertical="center"/>
    </xf>
    <xf numFmtId="180" fontId="10" fillId="0" borderId="77" xfId="0" applyNumberFormat="1" applyFont="1" applyBorder="1" applyAlignment="1">
      <alignment horizontal="center"/>
    </xf>
    <xf numFmtId="180" fontId="10" fillId="0" borderId="66" xfId="0" applyNumberFormat="1" applyFont="1" applyBorder="1" applyAlignment="1">
      <alignment horizontal="center"/>
    </xf>
    <xf numFmtId="49" fontId="16" fillId="0" borderId="83" xfId="0" applyNumberFormat="1" applyFont="1" applyBorder="1"/>
    <xf numFmtId="49" fontId="16" fillId="0" borderId="45" xfId="0" applyNumberFormat="1" applyFont="1" applyBorder="1"/>
    <xf numFmtId="49" fontId="16" fillId="0" borderId="55" xfId="0" applyNumberFormat="1" applyFont="1" applyBorder="1"/>
    <xf numFmtId="49" fontId="4" fillId="0" borderId="56" xfId="0" applyNumberFormat="1" applyFont="1" applyBorder="1" applyAlignment="1">
      <alignment horizontal="center"/>
    </xf>
    <xf numFmtId="49" fontId="4" fillId="0" borderId="71" xfId="0" applyNumberFormat="1" applyFont="1" applyBorder="1" applyAlignment="1">
      <alignment horizontal="center"/>
    </xf>
    <xf numFmtId="170" fontId="16" fillId="0" borderId="0" xfId="0" applyNumberFormat="1" applyFont="1" applyAlignment="1">
      <alignment horizontal="centerContinuous"/>
    </xf>
    <xf numFmtId="170" fontId="16" fillId="0" borderId="56" xfId="0" applyNumberFormat="1" applyFont="1" applyBorder="1" applyAlignment="1">
      <alignment horizontal="centerContinuous"/>
    </xf>
    <xf numFmtId="170" fontId="10" fillId="0" borderId="80" xfId="0" applyNumberFormat="1" applyFont="1" applyBorder="1" applyAlignment="1">
      <alignment horizontal="center"/>
    </xf>
    <xf numFmtId="170" fontId="10" fillId="0" borderId="66" xfId="0" applyNumberFormat="1" applyFont="1" applyBorder="1" applyAlignment="1">
      <alignment horizontal="center"/>
    </xf>
    <xf numFmtId="170" fontId="10" fillId="0" borderId="98" xfId="0" applyNumberFormat="1" applyFont="1" applyBorder="1" applyAlignment="1">
      <alignment horizontal="center"/>
    </xf>
    <xf numFmtId="170" fontId="10" fillId="0" borderId="85" xfId="0" applyNumberFormat="1" applyFont="1" applyBorder="1" applyAlignment="1">
      <alignment horizontal="center"/>
    </xf>
    <xf numFmtId="180" fontId="10" fillId="0" borderId="85" xfId="0" applyNumberFormat="1" applyFont="1" applyBorder="1" applyAlignment="1">
      <alignment horizontal="center"/>
    </xf>
    <xf numFmtId="170" fontId="34" fillId="0" borderId="37" xfId="0" applyNumberFormat="1" applyFont="1" applyBorder="1" applyAlignment="1">
      <alignment horizontal="centerContinuous"/>
    </xf>
    <xf numFmtId="170" fontId="0" fillId="0" borderId="99" xfId="0" applyNumberFormat="1" applyBorder="1" applyAlignment="1">
      <alignment horizontal="centerContinuous"/>
    </xf>
    <xf numFmtId="49" fontId="4" fillId="0" borderId="75" xfId="0" applyNumberFormat="1" applyFont="1" applyBorder="1" applyAlignment="1">
      <alignment horizontal="center"/>
    </xf>
    <xf numFmtId="1" fontId="16" fillId="0" borderId="31" xfId="0" applyNumberFormat="1" applyFont="1" applyBorder="1" applyAlignment="1">
      <alignment horizontal="center"/>
    </xf>
    <xf numFmtId="1" fontId="16" fillId="0" borderId="34" xfId="0" applyNumberFormat="1" applyFont="1" applyBorder="1" applyAlignment="1">
      <alignment horizontal="center"/>
    </xf>
    <xf numFmtId="1" fontId="16" fillId="0" borderId="78" xfId="0" applyNumberFormat="1" applyFont="1" applyBorder="1" applyAlignment="1">
      <alignment horizontal="center"/>
    </xf>
    <xf numFmtId="1" fontId="16" fillId="0" borderId="35" xfId="0" applyNumberFormat="1" applyFont="1" applyBorder="1" applyAlignment="1">
      <alignment horizontal="center"/>
    </xf>
    <xf numFmtId="170" fontId="16" fillId="0" borderId="48" xfId="0" applyNumberFormat="1" applyFont="1" applyBorder="1"/>
    <xf numFmtId="170" fontId="16" fillId="0" borderId="0" xfId="0" applyNumberFormat="1" applyFont="1"/>
    <xf numFmtId="170" fontId="16" fillId="0" borderId="83" xfId="0" applyNumberFormat="1" applyFont="1" applyBorder="1" applyAlignment="1">
      <alignment horizontal="center"/>
    </xf>
    <xf numFmtId="170" fontId="16" fillId="0" borderId="49" xfId="0" applyNumberFormat="1" applyFont="1" applyBorder="1" applyAlignment="1">
      <alignment horizontal="center"/>
    </xf>
    <xf numFmtId="170" fontId="16" fillId="0" borderId="100" xfId="0" applyNumberFormat="1" applyFont="1" applyBorder="1"/>
    <xf numFmtId="49" fontId="16" fillId="0" borderId="97" xfId="0" applyNumberFormat="1" applyFont="1" applyBorder="1"/>
    <xf numFmtId="170" fontId="16" fillId="0" borderId="31" xfId="0" applyNumberFormat="1" applyFont="1" applyBorder="1" applyAlignment="1">
      <alignment horizontal="center"/>
    </xf>
    <xf numFmtId="49" fontId="16" fillId="0" borderId="48" xfId="0" applyNumberFormat="1" applyFont="1" applyBorder="1" applyAlignment="1">
      <alignment horizontal="center"/>
    </xf>
    <xf numFmtId="49" fontId="16" fillId="0" borderId="70" xfId="0" applyNumberFormat="1" applyFont="1" applyBorder="1"/>
    <xf numFmtId="49" fontId="16" fillId="0" borderId="49" xfId="0" applyNumberFormat="1" applyFont="1" applyBorder="1"/>
    <xf numFmtId="49" fontId="4" fillId="0" borderId="11" xfId="0" applyNumberFormat="1" applyFont="1" applyBorder="1" applyAlignment="1">
      <alignment horizontal="center"/>
    </xf>
    <xf numFmtId="49" fontId="9" fillId="0" borderId="83" xfId="0" applyNumberFormat="1" applyFont="1" applyBorder="1"/>
    <xf numFmtId="49" fontId="9" fillId="0" borderId="84" xfId="0" applyNumberFormat="1" applyFont="1" applyBorder="1"/>
    <xf numFmtId="49" fontId="9" fillId="0" borderId="97" xfId="0" applyNumberFormat="1" applyFont="1" applyBorder="1" applyAlignment="1">
      <alignment horizontal="center"/>
    </xf>
    <xf numFmtId="170" fontId="34" fillId="0" borderId="48" xfId="0" applyNumberFormat="1" applyFont="1" applyBorder="1" applyAlignment="1">
      <alignment horizontal="centerContinuous"/>
    </xf>
    <xf numFmtId="170" fontId="4" fillId="0" borderId="0" xfId="0" applyNumberFormat="1" applyFont="1" applyAlignment="1">
      <alignment horizontal="centerContinuous"/>
    </xf>
    <xf numFmtId="170" fontId="34" fillId="0" borderId="0" xfId="0" applyNumberFormat="1" applyFont="1" applyAlignment="1">
      <alignment horizontal="centerContinuous"/>
    </xf>
    <xf numFmtId="49" fontId="4" fillId="0" borderId="84" xfId="0" applyNumberFormat="1" applyFont="1" applyBorder="1"/>
    <xf numFmtId="49" fontId="9" fillId="0" borderId="84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54" xfId="0" applyNumberFormat="1" applyFont="1" applyBorder="1" applyAlignment="1">
      <alignment horizontal="center"/>
    </xf>
    <xf numFmtId="170" fontId="3" fillId="0" borderId="0" xfId="0" applyNumberFormat="1" applyFont="1"/>
    <xf numFmtId="170" fontId="10" fillId="0" borderId="98" xfId="0" applyNumberFormat="1" applyFont="1" applyBorder="1"/>
    <xf numFmtId="170" fontId="10" fillId="0" borderId="29" xfId="0" applyNumberFormat="1" applyFont="1" applyBorder="1"/>
    <xf numFmtId="170" fontId="4" fillId="0" borderId="29" xfId="0" applyNumberFormat="1" applyFont="1" applyBorder="1"/>
    <xf numFmtId="1" fontId="8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2" fontId="3" fillId="0" borderId="31" xfId="0" applyNumberFormat="1" applyFont="1" applyBorder="1" applyAlignment="1">
      <alignment horizontal="left"/>
    </xf>
    <xf numFmtId="0" fontId="7" fillId="0" borderId="65" xfId="0" applyFont="1" applyBorder="1" applyAlignment="1">
      <alignment horizontal="center"/>
    </xf>
    <xf numFmtId="180" fontId="8" fillId="0" borderId="0" xfId="0" applyNumberFormat="1" applyFont="1" applyAlignment="1" applyProtection="1">
      <alignment horizontal="center"/>
      <protection locked="0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10" fillId="0" borderId="10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1" fontId="3" fillId="0" borderId="2" xfId="0" applyNumberFormat="1" applyFont="1" applyBorder="1"/>
    <xf numFmtId="0" fontId="3" fillId="0" borderId="2" xfId="0" applyFont="1" applyBorder="1"/>
    <xf numFmtId="0" fontId="20" fillId="0" borderId="12" xfId="0" applyFont="1" applyBorder="1" applyAlignment="1">
      <alignment horizontal="center"/>
    </xf>
    <xf numFmtId="175" fontId="4" fillId="0" borderId="12" xfId="0" applyNumberFormat="1" applyFont="1" applyBorder="1" applyAlignment="1">
      <alignment horizontal="center"/>
    </xf>
    <xf numFmtId="0" fontId="22" fillId="0" borderId="102" xfId="0" applyFont="1" applyBorder="1" applyAlignment="1">
      <alignment horizontal="center"/>
    </xf>
    <xf numFmtId="0" fontId="22" fillId="0" borderId="103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21" xfId="0" applyFont="1" applyBorder="1" applyAlignment="1">
      <alignment horizontal="centerContinuous"/>
    </xf>
    <xf numFmtId="0" fontId="22" fillId="0" borderId="12" xfId="0" applyFont="1" applyBorder="1" applyAlignment="1">
      <alignment horizontal="centerContinuous"/>
    </xf>
    <xf numFmtId="176" fontId="3" fillId="0" borderId="0" xfId="0" applyNumberFormat="1" applyFont="1"/>
    <xf numFmtId="0" fontId="10" fillId="0" borderId="6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72" xfId="0" applyFont="1" applyBorder="1" applyAlignment="1">
      <alignment horizontal="center"/>
    </xf>
    <xf numFmtId="2" fontId="3" fillId="0" borderId="34" xfId="0" applyNumberFormat="1" applyFont="1" applyBorder="1" applyAlignment="1">
      <alignment horizontal="left"/>
    </xf>
    <xf numFmtId="0" fontId="3" fillId="0" borderId="34" xfId="0" applyFont="1" applyBorder="1"/>
    <xf numFmtId="0" fontId="3" fillId="0" borderId="78" xfId="0" applyFont="1" applyBorder="1"/>
    <xf numFmtId="180" fontId="3" fillId="0" borderId="82" xfId="0" applyNumberFormat="1" applyFont="1" applyBorder="1" applyAlignment="1">
      <alignment horizontal="center"/>
    </xf>
    <xf numFmtId="0" fontId="3" fillId="0" borderId="3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170" fontId="10" fillId="0" borderId="12" xfId="0" applyNumberFormat="1" applyFont="1" applyBorder="1" applyAlignment="1">
      <alignment horizontal="center"/>
    </xf>
    <xf numFmtId="185" fontId="19" fillId="0" borderId="6" xfId="0" applyNumberFormat="1" applyFont="1" applyBorder="1" applyAlignment="1">
      <alignment horizontal="center"/>
    </xf>
    <xf numFmtId="0" fontId="20" fillId="0" borderId="42" xfId="0" applyFont="1" applyBorder="1" applyAlignment="1">
      <alignment horizontal="center" vertical="center"/>
    </xf>
    <xf numFmtId="3" fontId="4" fillId="0" borderId="17" xfId="0" quotePrefix="1" applyNumberFormat="1" applyFont="1" applyBorder="1" applyAlignment="1">
      <alignment horizontal="center"/>
    </xf>
    <xf numFmtId="3" fontId="4" fillId="0" borderId="42" xfId="0" quotePrefix="1" applyNumberFormat="1" applyFont="1" applyBorder="1" applyAlignment="1">
      <alignment horizontal="center"/>
    </xf>
    <xf numFmtId="180" fontId="20" fillId="0" borderId="99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3" fontId="4" fillId="0" borderId="12" xfId="0" quotePrefix="1" applyNumberFormat="1" applyFont="1" applyBorder="1" applyAlignment="1">
      <alignment horizontal="center"/>
    </xf>
    <xf numFmtId="0" fontId="8" fillId="0" borderId="104" xfId="0" applyFont="1" applyBorder="1" applyAlignment="1" applyProtection="1">
      <alignment horizontal="center"/>
      <protection locked="0"/>
    </xf>
    <xf numFmtId="189" fontId="23" fillId="0" borderId="23" xfId="0" applyNumberFormat="1" applyFont="1" applyBorder="1" applyAlignment="1">
      <alignment horizontal="center"/>
    </xf>
    <xf numFmtId="189" fontId="23" fillId="0" borderId="0" xfId="0" applyNumberFormat="1" applyFont="1" applyAlignment="1">
      <alignment horizontal="center"/>
    </xf>
    <xf numFmtId="166" fontId="19" fillId="0" borderId="0" xfId="0" applyNumberFormat="1" applyFont="1"/>
    <xf numFmtId="0" fontId="19" fillId="0" borderId="12" xfId="0" quotePrefix="1" applyFont="1" applyBorder="1" applyAlignment="1">
      <alignment horizontal="center"/>
    </xf>
    <xf numFmtId="189" fontId="19" fillId="0" borderId="12" xfId="0" quotePrefix="1" applyNumberFormat="1" applyFont="1" applyBorder="1" applyAlignment="1">
      <alignment horizontal="center"/>
    </xf>
    <xf numFmtId="2" fontId="19" fillId="0" borderId="12" xfId="0" applyNumberFormat="1" applyFont="1" applyBorder="1" applyAlignment="1">
      <alignment horizontal="center"/>
    </xf>
    <xf numFmtId="9" fontId="19" fillId="0" borderId="12" xfId="4" applyFont="1" applyBorder="1" applyAlignment="1">
      <alignment horizontal="center"/>
    </xf>
    <xf numFmtId="4" fontId="19" fillId="0" borderId="12" xfId="0" applyNumberFormat="1" applyFont="1" applyBorder="1" applyAlignment="1">
      <alignment horizontal="right"/>
    </xf>
    <xf numFmtId="0" fontId="4" fillId="4" borderId="12" xfId="0" applyFont="1" applyFill="1" applyBorder="1" applyAlignment="1">
      <alignment horizontal="center"/>
    </xf>
    <xf numFmtId="169" fontId="39" fillId="4" borderId="12" xfId="0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175" fontId="17" fillId="0" borderId="3" xfId="0" applyNumberFormat="1" applyFont="1" applyBorder="1" applyAlignment="1">
      <alignment horizontal="center"/>
    </xf>
    <xf numFmtId="170" fontId="8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170" fontId="10" fillId="0" borderId="0" xfId="0" applyNumberFormat="1" applyFont="1" applyAlignment="1">
      <alignment horizontal="center"/>
    </xf>
    <xf numFmtId="170" fontId="41" fillId="6" borderId="12" xfId="0" applyNumberFormat="1" applyFont="1" applyFill="1" applyBorder="1" applyAlignment="1">
      <alignment horizontal="center"/>
    </xf>
    <xf numFmtId="175" fontId="30" fillId="0" borderId="12" xfId="0" applyNumberFormat="1" applyFont="1" applyBorder="1" applyAlignment="1">
      <alignment horizontal="center"/>
    </xf>
    <xf numFmtId="171" fontId="4" fillId="0" borderId="0" xfId="0" applyNumberFormat="1" applyFont="1" applyAlignment="1">
      <alignment horizontal="center"/>
    </xf>
    <xf numFmtId="173" fontId="8" fillId="0" borderId="0" xfId="0" applyNumberFormat="1" applyFont="1" applyAlignment="1">
      <alignment horizontal="center"/>
    </xf>
    <xf numFmtId="191" fontId="4" fillId="7" borderId="8" xfId="1" applyNumberFormat="1" applyFont="1" applyFill="1" applyBorder="1" applyAlignment="1">
      <alignment horizontal="center"/>
    </xf>
    <xf numFmtId="191" fontId="4" fillId="7" borderId="1" xfId="1" applyNumberFormat="1" applyFont="1" applyFill="1" applyBorder="1" applyAlignment="1">
      <alignment horizontal="center"/>
    </xf>
    <xf numFmtId="191" fontId="4" fillId="0" borderId="1" xfId="1" applyNumberFormat="1" applyFont="1" applyBorder="1" applyAlignment="1">
      <alignment horizontal="center"/>
    </xf>
    <xf numFmtId="0" fontId="19" fillId="0" borderId="0" xfId="0" applyFont="1" applyAlignment="1">
      <alignment vertical="center"/>
    </xf>
    <xf numFmtId="0" fontId="0" fillId="0" borderId="12" xfId="0" applyBorder="1"/>
    <xf numFmtId="0" fontId="38" fillId="0" borderId="12" xfId="0" applyFont="1" applyBorder="1" applyAlignment="1">
      <alignment horizontal="center"/>
    </xf>
    <xf numFmtId="9" fontId="0" fillId="0" borderId="12" xfId="4" applyFont="1" applyBorder="1" applyAlignment="1">
      <alignment horizontal="center"/>
    </xf>
    <xf numFmtId="9" fontId="38" fillId="0" borderId="12" xfId="0" applyNumberFormat="1" applyFont="1" applyBorder="1" applyAlignment="1">
      <alignment horizontal="center"/>
    </xf>
    <xf numFmtId="0" fontId="0" fillId="0" borderId="12" xfId="0" applyBorder="1" applyAlignment="1">
      <alignment horizontal="left"/>
    </xf>
    <xf numFmtId="9" fontId="0" fillId="0" borderId="12" xfId="0" applyNumberFormat="1" applyBorder="1" applyAlignment="1">
      <alignment horizontal="left"/>
    </xf>
    <xf numFmtId="0" fontId="19" fillId="0" borderId="12" xfId="0" applyFont="1" applyBorder="1"/>
    <xf numFmtId="175" fontId="37" fillId="0" borderId="12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2" fontId="4" fillId="8" borderId="12" xfId="0" applyNumberFormat="1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8" fillId="0" borderId="12" xfId="0" applyFont="1" applyBorder="1"/>
    <xf numFmtId="195" fontId="38" fillId="0" borderId="12" xfId="0" applyNumberFormat="1" applyFont="1" applyBorder="1" applyAlignment="1">
      <alignment horizontal="center"/>
    </xf>
    <xf numFmtId="195" fontId="0" fillId="0" borderId="12" xfId="0" applyNumberFormat="1" applyBorder="1" applyAlignment="1">
      <alignment horizontal="center"/>
    </xf>
    <xf numFmtId="195" fontId="37" fillId="0" borderId="12" xfId="0" applyNumberFormat="1" applyFont="1" applyBorder="1" applyAlignment="1">
      <alignment horizontal="center"/>
    </xf>
    <xf numFmtId="0" fontId="3" fillId="0" borderId="0" xfId="6"/>
    <xf numFmtId="170" fontId="8" fillId="0" borderId="0" xfId="6" applyNumberFormat="1" applyFont="1"/>
    <xf numFmtId="170" fontId="3" fillId="0" borderId="0" xfId="6" applyNumberFormat="1"/>
    <xf numFmtId="170" fontId="4" fillId="0" borderId="0" xfId="6" applyNumberFormat="1" applyFont="1"/>
    <xf numFmtId="0" fontId="8" fillId="0" borderId="0" xfId="6" applyFont="1"/>
    <xf numFmtId="3" fontId="3" fillId="0" borderId="0" xfId="6" applyNumberFormat="1"/>
    <xf numFmtId="3" fontId="3" fillId="0" borderId="0" xfId="6" applyNumberFormat="1" applyAlignment="1">
      <alignment horizontal="left"/>
    </xf>
    <xf numFmtId="0" fontId="3" fillId="0" borderId="0" xfId="6" applyAlignment="1">
      <alignment horizontal="left"/>
    </xf>
    <xf numFmtId="17" fontId="3" fillId="0" borderId="0" xfId="6" quotePrefix="1" applyNumberFormat="1" applyAlignment="1">
      <alignment horizontal="left"/>
    </xf>
    <xf numFmtId="170" fontId="4" fillId="0" borderId="50" xfId="6" applyNumberFormat="1" applyFont="1" applyBorder="1"/>
    <xf numFmtId="170" fontId="4" fillId="0" borderId="49" xfId="6" applyNumberFormat="1" applyFont="1" applyBorder="1"/>
    <xf numFmtId="170" fontId="4" fillId="0" borderId="55" xfId="6" applyNumberFormat="1" applyFont="1" applyBorder="1"/>
    <xf numFmtId="170" fontId="4" fillId="0" borderId="69" xfId="6" applyNumberFormat="1" applyFont="1" applyBorder="1"/>
    <xf numFmtId="170" fontId="5" fillId="0" borderId="49" xfId="6" applyNumberFormat="1" applyFont="1" applyBorder="1"/>
    <xf numFmtId="170" fontId="3" fillId="0" borderId="55" xfId="6" applyNumberFormat="1" applyBorder="1"/>
    <xf numFmtId="170" fontId="4" fillId="0" borderId="48" xfId="6" applyNumberFormat="1" applyFont="1" applyBorder="1"/>
    <xf numFmtId="170" fontId="4" fillId="0" borderId="0" xfId="6" applyNumberFormat="1" applyFont="1" applyAlignment="1">
      <alignment horizontal="centerContinuous"/>
    </xf>
    <xf numFmtId="170" fontId="4" fillId="0" borderId="72" xfId="6" applyNumberFormat="1" applyFont="1" applyBorder="1" applyAlignment="1">
      <alignment horizontal="center"/>
    </xf>
    <xf numFmtId="170" fontId="4" fillId="0" borderId="56" xfId="6" applyNumberFormat="1" applyFont="1" applyBorder="1" applyAlignment="1">
      <alignment horizontal="centerContinuous"/>
    </xf>
    <xf numFmtId="170" fontId="5" fillId="0" borderId="48" xfId="6" applyNumberFormat="1" applyFont="1" applyBorder="1" applyAlignment="1">
      <alignment horizontal="centerContinuous"/>
    </xf>
    <xf numFmtId="170" fontId="5" fillId="0" borderId="0" xfId="6" applyNumberFormat="1" applyFont="1" applyAlignment="1">
      <alignment horizontal="centerContinuous"/>
    </xf>
    <xf numFmtId="170" fontId="5" fillId="0" borderId="37" xfId="6" applyNumberFormat="1" applyFont="1" applyBorder="1" applyAlignment="1">
      <alignment horizontal="centerContinuous"/>
    </xf>
    <xf numFmtId="170" fontId="3" fillId="0" borderId="99" xfId="6" applyNumberFormat="1" applyBorder="1" applyAlignment="1">
      <alignment horizontal="centerContinuous"/>
    </xf>
    <xf numFmtId="170" fontId="4" fillId="0" borderId="83" xfId="6" applyNumberFormat="1" applyFont="1" applyBorder="1" applyAlignment="1">
      <alignment horizontal="center"/>
    </xf>
    <xf numFmtId="170" fontId="4" fillId="0" borderId="49" xfId="6" applyNumberFormat="1" applyFont="1" applyBorder="1" applyAlignment="1">
      <alignment horizontal="center"/>
    </xf>
    <xf numFmtId="170" fontId="4" fillId="0" borderId="100" xfId="6" applyNumberFormat="1" applyFont="1" applyBorder="1"/>
    <xf numFmtId="49" fontId="4" fillId="0" borderId="97" xfId="6" applyNumberFormat="1" applyFont="1" applyBorder="1"/>
    <xf numFmtId="49" fontId="4" fillId="0" borderId="45" xfId="6" applyNumberFormat="1" applyFont="1" applyBorder="1"/>
    <xf numFmtId="49" fontId="4" fillId="0" borderId="55" xfId="6" applyNumberFormat="1" applyFont="1" applyBorder="1"/>
    <xf numFmtId="49" fontId="4" fillId="0" borderId="48" xfId="6" applyNumberFormat="1" applyFont="1" applyBorder="1" applyAlignment="1">
      <alignment horizontal="center"/>
    </xf>
    <xf numFmtId="49" fontId="4" fillId="0" borderId="83" xfId="6" applyNumberFormat="1" applyFont="1" applyBorder="1"/>
    <xf numFmtId="49" fontId="4" fillId="0" borderId="49" xfId="6" applyNumberFormat="1" applyFont="1" applyBorder="1"/>
    <xf numFmtId="49" fontId="9" fillId="0" borderId="83" xfId="6" applyNumberFormat="1" applyFont="1" applyBorder="1"/>
    <xf numFmtId="49" fontId="9" fillId="0" borderId="84" xfId="6" applyNumberFormat="1" applyFont="1" applyBorder="1"/>
    <xf numFmtId="49" fontId="9" fillId="0" borderId="97" xfId="6" applyNumberFormat="1" applyFont="1" applyBorder="1" applyAlignment="1">
      <alignment horizontal="center"/>
    </xf>
    <xf numFmtId="49" fontId="4" fillId="0" borderId="84" xfId="6" applyNumberFormat="1" applyFont="1" applyBorder="1"/>
    <xf numFmtId="49" fontId="9" fillId="0" borderId="84" xfId="6" applyNumberFormat="1" applyFont="1" applyBorder="1" applyAlignment="1">
      <alignment horizontal="center"/>
    </xf>
    <xf numFmtId="49" fontId="9" fillId="0" borderId="64" xfId="6" applyNumberFormat="1" applyFont="1" applyBorder="1"/>
    <xf numFmtId="49" fontId="3" fillId="0" borderId="74" xfId="6" applyNumberFormat="1" applyBorder="1"/>
    <xf numFmtId="170" fontId="4" fillId="0" borderId="44" xfId="6" applyNumberFormat="1" applyFont="1" applyBorder="1" applyAlignment="1">
      <alignment horizontal="center"/>
    </xf>
    <xf numFmtId="170" fontId="4" fillId="0" borderId="0" xfId="6" applyNumberFormat="1" applyFont="1" applyAlignment="1">
      <alignment horizontal="center"/>
    </xf>
    <xf numFmtId="170" fontId="4" fillId="0" borderId="10" xfId="6" applyNumberFormat="1" applyFont="1" applyBorder="1" applyAlignment="1">
      <alignment horizontal="center"/>
    </xf>
    <xf numFmtId="49" fontId="4" fillId="0" borderId="73" xfId="6" applyNumberFormat="1" applyFont="1" applyBorder="1" applyAlignment="1">
      <alignment horizontal="center"/>
    </xf>
    <xf numFmtId="49" fontId="4" fillId="0" borderId="6" xfId="6" applyNumberFormat="1" applyFont="1" applyBorder="1" applyAlignment="1">
      <alignment horizontal="center"/>
    </xf>
    <xf numFmtId="49" fontId="4" fillId="0" borderId="56" xfId="6" applyNumberFormat="1" applyFont="1" applyBorder="1" applyAlignment="1">
      <alignment horizontal="center"/>
    </xf>
    <xf numFmtId="49" fontId="4" fillId="0" borderId="44" xfId="6" applyNumberFormat="1" applyFont="1" applyBorder="1" applyAlignment="1">
      <alignment horizontal="center"/>
    </xf>
    <xf numFmtId="49" fontId="4" fillId="0" borderId="10" xfId="6" applyNumberFormat="1" applyFont="1" applyBorder="1" applyAlignment="1">
      <alignment horizontal="center"/>
    </xf>
    <xf numFmtId="49" fontId="9" fillId="0" borderId="44" xfId="6" applyNumberFormat="1" applyFont="1" applyBorder="1" applyAlignment="1">
      <alignment horizontal="center"/>
    </xf>
    <xf numFmtId="49" fontId="9" fillId="0" borderId="2" xfId="6" applyNumberFormat="1" applyFont="1" applyBorder="1" applyAlignment="1">
      <alignment horizontal="center"/>
    </xf>
    <xf numFmtId="49" fontId="9" fillId="0" borderId="73" xfId="6" applyNumberFormat="1" applyFont="1" applyBorder="1" applyAlignment="1">
      <alignment horizontal="center"/>
    </xf>
    <xf numFmtId="49" fontId="4" fillId="0" borderId="2" xfId="6" applyNumberFormat="1" applyFont="1" applyBorder="1" applyAlignment="1">
      <alignment horizontal="center"/>
    </xf>
    <xf numFmtId="49" fontId="9" fillId="0" borderId="56" xfId="6" applyNumberFormat="1" applyFont="1" applyBorder="1" applyAlignment="1">
      <alignment horizontal="center"/>
    </xf>
    <xf numFmtId="170" fontId="4" fillId="0" borderId="75" xfId="6" applyNumberFormat="1" applyFont="1" applyBorder="1"/>
    <xf numFmtId="170" fontId="4" fillId="0" borderId="4" xfId="6" applyNumberFormat="1" applyFont="1" applyBorder="1"/>
    <xf numFmtId="170" fontId="4" fillId="0" borderId="11" xfId="6" applyNumberFormat="1" applyFont="1" applyBorder="1"/>
    <xf numFmtId="49" fontId="4" fillId="0" borderId="76" xfId="6" applyNumberFormat="1" applyFont="1" applyBorder="1"/>
    <xf numFmtId="49" fontId="4" fillId="0" borderId="5" xfId="6" applyNumberFormat="1" applyFont="1" applyBorder="1"/>
    <xf numFmtId="49" fontId="4" fillId="0" borderId="3" xfId="6" applyNumberFormat="1" applyFont="1" applyBorder="1" applyAlignment="1">
      <alignment horizontal="center"/>
    </xf>
    <xf numFmtId="49" fontId="4" fillId="0" borderId="5" xfId="6" applyNumberFormat="1" applyFont="1" applyBorder="1" applyAlignment="1">
      <alignment horizontal="center"/>
    </xf>
    <xf numFmtId="49" fontId="4" fillId="0" borderId="71" xfId="6" applyNumberFormat="1" applyFont="1" applyBorder="1" applyAlignment="1">
      <alignment horizontal="center"/>
    </xf>
    <xf numFmtId="49" fontId="4" fillId="0" borderId="71" xfId="6" applyNumberFormat="1" applyFont="1" applyBorder="1"/>
    <xf numFmtId="49" fontId="4" fillId="0" borderId="70" xfId="6" applyNumberFormat="1" applyFont="1" applyBorder="1"/>
    <xf numFmtId="49" fontId="4" fillId="0" borderId="75" xfId="6" applyNumberFormat="1" applyFont="1" applyBorder="1" applyAlignment="1">
      <alignment horizontal="center"/>
    </xf>
    <xf numFmtId="49" fontId="4" fillId="0" borderId="11" xfId="6" applyNumberFormat="1" applyFont="1" applyBorder="1" applyAlignment="1">
      <alignment horizontal="center"/>
    </xf>
    <xf numFmtId="49" fontId="5" fillId="0" borderId="75" xfId="6" applyNumberFormat="1" applyFont="1" applyBorder="1" applyAlignment="1">
      <alignment horizontal="center"/>
    </xf>
    <xf numFmtId="49" fontId="5" fillId="0" borderId="3" xfId="6" applyNumberFormat="1" applyFont="1" applyBorder="1" applyAlignment="1">
      <alignment horizontal="center"/>
    </xf>
    <xf numFmtId="49" fontId="5" fillId="0" borderId="76" xfId="6" quotePrefix="1" applyNumberFormat="1" applyFont="1" applyBorder="1" applyAlignment="1">
      <alignment horizontal="center"/>
    </xf>
    <xf numFmtId="49" fontId="5" fillId="0" borderId="3" xfId="6" quotePrefix="1" applyNumberFormat="1" applyFont="1" applyBorder="1" applyAlignment="1">
      <alignment horizontal="center"/>
    </xf>
    <xf numFmtId="49" fontId="5" fillId="0" borderId="71" xfId="6" quotePrefix="1" applyNumberFormat="1" applyFont="1" applyBorder="1" applyAlignment="1">
      <alignment horizontal="center"/>
    </xf>
    <xf numFmtId="170" fontId="4" fillId="0" borderId="31" xfId="6" applyNumberFormat="1" applyFont="1" applyBorder="1" applyAlignment="1">
      <alignment horizontal="center"/>
    </xf>
    <xf numFmtId="1" fontId="4" fillId="0" borderId="34" xfId="6" applyNumberFormat="1" applyFont="1" applyBorder="1" applyAlignment="1">
      <alignment horizontal="center"/>
    </xf>
    <xf numFmtId="1" fontId="4" fillId="0" borderId="78" xfId="6" applyNumberFormat="1" applyFont="1" applyBorder="1" applyAlignment="1">
      <alignment horizontal="center"/>
    </xf>
    <xf numFmtId="1" fontId="4" fillId="0" borderId="8" xfId="6" applyNumberFormat="1" applyFont="1" applyBorder="1" applyAlignment="1">
      <alignment horizontal="center"/>
    </xf>
    <xf numFmtId="1" fontId="4" fillId="0" borderId="1" xfId="6" applyNumberFormat="1" applyFont="1" applyBorder="1" applyAlignment="1">
      <alignment horizontal="center"/>
    </xf>
    <xf numFmtId="1" fontId="4" fillId="0" borderId="54" xfId="6" applyNumberFormat="1" applyFont="1" applyBorder="1" applyAlignment="1">
      <alignment horizontal="center"/>
    </xf>
    <xf numFmtId="1" fontId="4" fillId="0" borderId="56" xfId="6" applyNumberFormat="1" applyFont="1" applyBorder="1" applyAlignment="1">
      <alignment horizontal="center"/>
    </xf>
    <xf numFmtId="1" fontId="4" fillId="0" borderId="98" xfId="6" applyNumberFormat="1" applyFont="1" applyBorder="1" applyAlignment="1">
      <alignment horizontal="center"/>
    </xf>
    <xf numFmtId="1" fontId="4" fillId="0" borderId="31" xfId="6" applyNumberFormat="1" applyFont="1" applyBorder="1" applyAlignment="1">
      <alignment horizontal="center"/>
    </xf>
    <xf numFmtId="0" fontId="42" fillId="0" borderId="3" xfId="6" applyFont="1" applyBorder="1" applyAlignment="1">
      <alignment horizontal="center" vertical="center"/>
    </xf>
    <xf numFmtId="0" fontId="42" fillId="0" borderId="11" xfId="6" applyFont="1" applyBorder="1" applyAlignment="1">
      <alignment horizontal="center" vertical="center"/>
    </xf>
    <xf numFmtId="3" fontId="4" fillId="0" borderId="17" xfId="6" quotePrefix="1" applyNumberFormat="1" applyFont="1" applyBorder="1" applyAlignment="1">
      <alignment horizontal="center"/>
    </xf>
    <xf numFmtId="3" fontId="4" fillId="0" borderId="42" xfId="6" quotePrefix="1" applyNumberFormat="1" applyFont="1" applyBorder="1" applyAlignment="1">
      <alignment horizontal="center"/>
    </xf>
    <xf numFmtId="180" fontId="4" fillId="0" borderId="17" xfId="6" applyNumberFormat="1" applyFont="1" applyBorder="1" applyAlignment="1">
      <alignment horizontal="center"/>
    </xf>
    <xf numFmtId="180" fontId="4" fillId="0" borderId="38" xfId="6" applyNumberFormat="1" applyFont="1" applyBorder="1" applyAlignment="1">
      <alignment horizontal="center"/>
    </xf>
    <xf numFmtId="3" fontId="4" fillId="0" borderId="3" xfId="6" applyNumberFormat="1" applyFont="1" applyBorder="1" applyAlignment="1">
      <alignment horizontal="center"/>
    </xf>
    <xf numFmtId="180" fontId="4" fillId="0" borderId="11" xfId="6" applyNumberFormat="1" applyFont="1" applyBorder="1" applyAlignment="1">
      <alignment horizontal="center"/>
    </xf>
    <xf numFmtId="170" fontId="4" fillId="0" borderId="3" xfId="6" applyNumberFormat="1" applyFont="1" applyBorder="1" applyAlignment="1">
      <alignment horizontal="center"/>
    </xf>
    <xf numFmtId="170" fontId="4" fillId="0" borderId="11" xfId="6" applyNumberFormat="1" applyFont="1" applyBorder="1" applyAlignment="1">
      <alignment horizontal="center"/>
    </xf>
    <xf numFmtId="3" fontId="4" fillId="0" borderId="75" xfId="6" quotePrefix="1" applyNumberFormat="1" applyFont="1" applyBorder="1" applyAlignment="1">
      <alignment horizontal="center"/>
    </xf>
    <xf numFmtId="180" fontId="4" fillId="0" borderId="76" xfId="6" applyNumberFormat="1" applyFont="1" applyBorder="1" applyAlignment="1">
      <alignment horizontal="center"/>
    </xf>
    <xf numFmtId="3" fontId="4" fillId="0" borderId="20" xfId="6" quotePrefix="1" applyNumberFormat="1" applyFont="1" applyBorder="1" applyAlignment="1">
      <alignment horizontal="center"/>
    </xf>
    <xf numFmtId="3" fontId="4" fillId="0" borderId="12" xfId="6" quotePrefix="1" applyNumberFormat="1" applyFont="1" applyBorder="1" applyAlignment="1">
      <alignment horizontal="center"/>
    </xf>
    <xf numFmtId="180" fontId="4" fillId="0" borderId="20" xfId="6" applyNumberFormat="1" applyFont="1" applyBorder="1" applyAlignment="1">
      <alignment horizontal="center"/>
    </xf>
    <xf numFmtId="180" fontId="4" fillId="0" borderId="52" xfId="6" applyNumberFormat="1" applyFont="1" applyBorder="1" applyAlignment="1">
      <alignment horizontal="center"/>
    </xf>
    <xf numFmtId="180" fontId="36" fillId="0" borderId="25" xfId="6" applyNumberFormat="1" applyFont="1" applyBorder="1" applyAlignment="1">
      <alignment horizontal="center" vertical="center"/>
    </xf>
    <xf numFmtId="170" fontId="10" fillId="0" borderId="98" xfId="6" applyNumberFormat="1" applyFont="1" applyBorder="1"/>
    <xf numFmtId="170" fontId="10" fillId="0" borderId="29" xfId="6" applyNumberFormat="1" applyFont="1" applyBorder="1"/>
    <xf numFmtId="170" fontId="4" fillId="0" borderId="29" xfId="6" applyNumberFormat="1" applyFont="1" applyBorder="1"/>
    <xf numFmtId="3" fontId="10" fillId="0" borderId="77" xfId="6" applyNumberFormat="1" applyFont="1" applyBorder="1" applyAlignment="1">
      <alignment horizontal="center"/>
    </xf>
    <xf numFmtId="3" fontId="10" fillId="0" borderId="80" xfId="6" applyNumberFormat="1" applyFont="1" applyBorder="1" applyAlignment="1">
      <alignment horizontal="center"/>
    </xf>
    <xf numFmtId="3" fontId="10" fillId="0" borderId="66" xfId="6" applyNumberFormat="1" applyFont="1" applyBorder="1" applyAlignment="1">
      <alignment horizontal="center"/>
    </xf>
    <xf numFmtId="3" fontId="10" fillId="0" borderId="81" xfId="6" applyNumberFormat="1" applyFont="1" applyBorder="1" applyAlignment="1">
      <alignment horizontal="center"/>
    </xf>
    <xf numFmtId="180" fontId="10" fillId="0" borderId="77" xfId="6" applyNumberFormat="1" applyFont="1" applyBorder="1" applyAlignment="1">
      <alignment horizontal="center"/>
    </xf>
    <xf numFmtId="180" fontId="10" fillId="0" borderId="66" xfId="6" applyNumberFormat="1" applyFont="1" applyBorder="1" applyAlignment="1">
      <alignment horizontal="center"/>
    </xf>
    <xf numFmtId="3" fontId="10" fillId="0" borderId="85" xfId="6" applyNumberFormat="1" applyFont="1" applyBorder="1" applyAlignment="1">
      <alignment horizontal="center"/>
    </xf>
    <xf numFmtId="170" fontId="10" fillId="0" borderId="79" xfId="6" applyNumberFormat="1" applyFont="1" applyBorder="1" applyAlignment="1">
      <alignment horizontal="center"/>
    </xf>
    <xf numFmtId="170" fontId="10" fillId="0" borderId="80" xfId="6" applyNumberFormat="1" applyFont="1" applyBorder="1" applyAlignment="1">
      <alignment horizontal="center"/>
    </xf>
    <xf numFmtId="170" fontId="10" fillId="0" borderId="66" xfId="6" applyNumberFormat="1" applyFont="1" applyBorder="1" applyAlignment="1">
      <alignment horizontal="center"/>
    </xf>
    <xf numFmtId="170" fontId="10" fillId="0" borderId="98" xfId="6" applyNumberFormat="1" applyFont="1" applyBorder="1" applyAlignment="1">
      <alignment horizontal="center"/>
    </xf>
    <xf numFmtId="170" fontId="10" fillId="0" borderId="85" xfId="6" applyNumberFormat="1" applyFont="1" applyBorder="1" applyAlignment="1">
      <alignment horizontal="center"/>
    </xf>
    <xf numFmtId="180" fontId="10" fillId="0" borderId="85" xfId="6" applyNumberFormat="1" applyFont="1" applyBorder="1" applyAlignment="1">
      <alignment horizontal="center"/>
    </xf>
    <xf numFmtId="180" fontId="14" fillId="0" borderId="0" xfId="6" applyNumberFormat="1" applyFont="1" applyAlignment="1">
      <alignment horizontal="center"/>
    </xf>
    <xf numFmtId="173" fontId="3" fillId="0" borderId="0" xfId="6" applyNumberFormat="1" applyAlignment="1">
      <alignment horizontal="center"/>
    </xf>
    <xf numFmtId="180" fontId="3" fillId="0" borderId="0" xfId="6" applyNumberFormat="1"/>
    <xf numFmtId="0" fontId="5" fillId="0" borderId="0" xfId="6" applyFont="1" applyAlignment="1">
      <alignment horizontal="center"/>
    </xf>
    <xf numFmtId="0" fontId="4" fillId="0" borderId="0" xfId="6" applyFont="1"/>
    <xf numFmtId="173" fontId="3" fillId="0" borderId="0" xfId="6" applyNumberFormat="1"/>
    <xf numFmtId="1" fontId="3" fillId="0" borderId="0" xfId="6" applyNumberFormat="1"/>
    <xf numFmtId="0" fontId="20" fillId="0" borderId="17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/>
    </xf>
    <xf numFmtId="0" fontId="20" fillId="0" borderId="42" xfId="0" applyFont="1" applyBorder="1" applyAlignment="1">
      <alignment horizontal="center"/>
    </xf>
    <xf numFmtId="0" fontId="4" fillId="0" borderId="4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7" fontId="3" fillId="0" borderId="0" xfId="6" applyNumberFormat="1" applyAlignment="1">
      <alignment horizontal="center"/>
    </xf>
    <xf numFmtId="165" fontId="43" fillId="0" borderId="0" xfId="0" applyNumberFormat="1" applyFont="1" applyAlignment="1">
      <alignment vertical="center"/>
    </xf>
    <xf numFmtId="165" fontId="0" fillId="0" borderId="0" xfId="0" applyNumberFormat="1"/>
    <xf numFmtId="186" fontId="19" fillId="0" borderId="0" xfId="0" applyNumberFormat="1" applyFont="1" applyAlignment="1">
      <alignment horizontal="center"/>
    </xf>
    <xf numFmtId="17" fontId="19" fillId="0" borderId="16" xfId="0" applyNumberFormat="1" applyFont="1" applyBorder="1" applyAlignment="1">
      <alignment horizontal="center"/>
    </xf>
    <xf numFmtId="0" fontId="8" fillId="0" borderId="12" xfId="0" applyFont="1" applyBorder="1" applyAlignment="1" applyProtection="1">
      <alignment horizontal="center"/>
      <protection locked="0"/>
    </xf>
    <xf numFmtId="0" fontId="20" fillId="0" borderId="7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180" fontId="20" fillId="0" borderId="71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173" fontId="4" fillId="0" borderId="38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73" fontId="4" fillId="0" borderId="52" xfId="0" applyNumberFormat="1" applyFont="1" applyBorder="1" applyAlignment="1">
      <alignment horizontal="center"/>
    </xf>
    <xf numFmtId="0" fontId="3" fillId="0" borderId="31" xfId="0" applyFont="1" applyBorder="1"/>
    <xf numFmtId="0" fontId="20" fillId="0" borderId="19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3" fontId="4" fillId="0" borderId="19" xfId="0" quotePrefix="1" applyNumberFormat="1" applyFont="1" applyBorder="1" applyAlignment="1">
      <alignment horizontal="center"/>
    </xf>
    <xf numFmtId="3" fontId="4" fillId="0" borderId="105" xfId="0" quotePrefix="1" applyNumberFormat="1" applyFont="1" applyBorder="1" applyAlignment="1">
      <alignment horizontal="center"/>
    </xf>
    <xf numFmtId="3" fontId="4" fillId="0" borderId="68" xfId="0" applyNumberFormat="1" applyFont="1" applyBorder="1" applyAlignment="1">
      <alignment horizontal="center"/>
    </xf>
    <xf numFmtId="3" fontId="4" fillId="0" borderId="65" xfId="0" applyNumberFormat="1" applyFont="1" applyBorder="1" applyAlignment="1">
      <alignment horizontal="center"/>
    </xf>
    <xf numFmtId="3" fontId="4" fillId="0" borderId="67" xfId="0" applyNumberFormat="1" applyFont="1" applyBorder="1" applyAlignment="1">
      <alignment horizontal="center"/>
    </xf>
    <xf numFmtId="180" fontId="20" fillId="0" borderId="18" xfId="0" applyNumberFormat="1" applyFont="1" applyBorder="1" applyAlignment="1">
      <alignment horizontal="center" vertical="center"/>
    </xf>
    <xf numFmtId="180" fontId="20" fillId="0" borderId="4" xfId="0" applyNumberFormat="1" applyFont="1" applyBorder="1" applyAlignment="1">
      <alignment horizontal="center" vertical="center"/>
    </xf>
    <xf numFmtId="180" fontId="3" fillId="0" borderId="25" xfId="0" applyNumberFormat="1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 wrapText="1"/>
    </xf>
    <xf numFmtId="0" fontId="3" fillId="0" borderId="67" xfId="0" applyFont="1" applyBorder="1"/>
    <xf numFmtId="0" fontId="4" fillId="0" borderId="37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3" fillId="0" borderId="53" xfId="0" applyFont="1" applyBorder="1"/>
    <xf numFmtId="173" fontId="4" fillId="0" borderId="68" xfId="0" applyNumberFormat="1" applyFont="1" applyBorder="1" applyAlignment="1">
      <alignment horizontal="center"/>
    </xf>
    <xf numFmtId="173" fontId="4" fillId="0" borderId="65" xfId="0" applyNumberFormat="1" applyFont="1" applyBorder="1" applyAlignment="1">
      <alignment horizontal="center"/>
    </xf>
    <xf numFmtId="1" fontId="4" fillId="0" borderId="64" xfId="6" applyNumberFormat="1" applyFont="1" applyBorder="1" applyAlignment="1">
      <alignment horizontal="center"/>
    </xf>
    <xf numFmtId="1" fontId="4" fillId="0" borderId="7" xfId="6" applyNumberFormat="1" applyFont="1" applyBorder="1" applyAlignment="1">
      <alignment horizontal="center"/>
    </xf>
    <xf numFmtId="3" fontId="4" fillId="0" borderId="19" xfId="6" quotePrefix="1" applyNumberFormat="1" applyFont="1" applyBorder="1" applyAlignment="1">
      <alignment horizontal="center"/>
    </xf>
    <xf numFmtId="3" fontId="4" fillId="0" borderId="105" xfId="6" quotePrefix="1" applyNumberFormat="1" applyFont="1" applyBorder="1" applyAlignment="1">
      <alignment horizontal="center"/>
    </xf>
    <xf numFmtId="3" fontId="4" fillId="0" borderId="68" xfId="6" applyNumberFormat="1" applyFont="1" applyBorder="1" applyAlignment="1">
      <alignment horizontal="center"/>
    </xf>
    <xf numFmtId="3" fontId="4" fillId="0" borderId="65" xfId="6" applyNumberFormat="1" applyFont="1" applyBorder="1" applyAlignment="1">
      <alignment horizontal="center"/>
    </xf>
    <xf numFmtId="3" fontId="4" fillId="0" borderId="67" xfId="6" applyNumberFormat="1" applyFont="1" applyBorder="1" applyAlignment="1">
      <alignment horizontal="center"/>
    </xf>
    <xf numFmtId="1" fontId="7" fillId="5" borderId="65" xfId="0" applyNumberFormat="1" applyFont="1" applyFill="1" applyBorder="1" applyAlignment="1">
      <alignment horizontal="center"/>
    </xf>
    <xf numFmtId="185" fontId="0" fillId="0" borderId="0" xfId="0" applyNumberFormat="1"/>
    <xf numFmtId="188" fontId="19" fillId="0" borderId="86" xfId="0" applyNumberFormat="1" applyFont="1" applyBorder="1" applyAlignment="1">
      <alignment horizontal="center"/>
    </xf>
    <xf numFmtId="180" fontId="20" fillId="0" borderId="4" xfId="6" applyNumberFormat="1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70" fontId="0" fillId="5" borderId="2" xfId="0" applyNumberFormat="1" applyFill="1" applyBorder="1" applyAlignment="1">
      <alignment horizontal="center"/>
    </xf>
    <xf numFmtId="181" fontId="0" fillId="5" borderId="2" xfId="0" applyNumberFormat="1" applyFill="1" applyBorder="1" applyAlignment="1">
      <alignment horizontal="center"/>
    </xf>
    <xf numFmtId="191" fontId="4" fillId="0" borderId="1" xfId="1" applyNumberFormat="1" applyFont="1" applyFill="1" applyBorder="1" applyAlignment="1"/>
    <xf numFmtId="191" fontId="4" fillId="0" borderId="8" xfId="1" applyNumberFormat="1" applyFont="1" applyFill="1" applyBorder="1" applyAlignment="1">
      <alignment horizontal="center"/>
    </xf>
    <xf numFmtId="191" fontId="4" fillId="0" borderId="8" xfId="1" applyNumberFormat="1" applyFont="1" applyFill="1" applyBorder="1" applyAlignment="1"/>
    <xf numFmtId="0" fontId="40" fillId="0" borderId="12" xfId="0" applyFont="1" applyBorder="1" applyAlignment="1">
      <alignment horizontal="center"/>
    </xf>
    <xf numFmtId="0" fontId="4" fillId="0" borderId="0" xfId="0" applyFont="1" applyAlignment="1">
      <alignment horizontal="left"/>
    </xf>
    <xf numFmtId="3" fontId="4" fillId="0" borderId="0" xfId="0" quotePrefix="1" applyNumberFormat="1" applyFont="1" applyAlignment="1">
      <alignment horizontal="left"/>
    </xf>
    <xf numFmtId="170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32" fillId="0" borderId="16" xfId="0" applyFont="1" applyBorder="1"/>
    <xf numFmtId="0" fontId="32" fillId="0" borderId="23" xfId="0" applyFont="1" applyBorder="1" applyAlignment="1">
      <alignment horizontal="center"/>
    </xf>
    <xf numFmtId="192" fontId="20" fillId="7" borderId="3" xfId="5" applyNumberFormat="1" applyFont="1" applyFill="1" applyBorder="1" applyAlignment="1">
      <alignment horizontal="center" vertical="top"/>
    </xf>
    <xf numFmtId="44" fontId="20" fillId="7" borderId="3" xfId="2" applyFont="1" applyFill="1" applyBorder="1" applyAlignment="1">
      <alignment vertical="top"/>
    </xf>
    <xf numFmtId="192" fontId="20" fillId="7" borderId="3" xfId="6" applyNumberFormat="1" applyFont="1" applyFill="1" applyBorder="1" applyAlignment="1">
      <alignment horizontal="center" vertical="top"/>
    </xf>
    <xf numFmtId="8" fontId="20" fillId="7" borderId="3" xfId="2" applyNumberFormat="1" applyFont="1" applyFill="1" applyBorder="1" applyAlignment="1">
      <alignment horizontal="center" vertical="top"/>
    </xf>
    <xf numFmtId="175" fontId="23" fillId="0" borderId="12" xfId="0" applyNumberFormat="1" applyFont="1" applyBorder="1" applyAlignment="1">
      <alignment horizontal="center"/>
    </xf>
    <xf numFmtId="175" fontId="27" fillId="0" borderId="12" xfId="0" applyNumberFormat="1" applyFont="1" applyBorder="1" applyAlignment="1">
      <alignment horizontal="center"/>
    </xf>
    <xf numFmtId="175" fontId="22" fillId="0" borderId="12" xfId="0" applyNumberFormat="1" applyFont="1" applyBorder="1" applyAlignment="1">
      <alignment horizontal="center"/>
    </xf>
    <xf numFmtId="185" fontId="19" fillId="0" borderId="86" xfId="0" applyNumberFormat="1" applyFont="1" applyBorder="1" applyAlignment="1">
      <alignment horizontal="center"/>
    </xf>
    <xf numFmtId="185" fontId="19" fillId="0" borderId="86" xfId="0" applyNumberFormat="1" applyFont="1" applyBorder="1" applyAlignment="1">
      <alignment horizontal="left"/>
    </xf>
    <xf numFmtId="178" fontId="3" fillId="0" borderId="2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75" fontId="0" fillId="0" borderId="106" xfId="0" applyNumberFormat="1" applyBorder="1" applyAlignment="1">
      <alignment horizontal="center"/>
    </xf>
    <xf numFmtId="175" fontId="8" fillId="0" borderId="106" xfId="0" applyNumberFormat="1" applyFont="1" applyBorder="1" applyAlignment="1">
      <alignment horizontal="center"/>
    </xf>
    <xf numFmtId="170" fontId="8" fillId="0" borderId="2" xfId="0" applyNumberFormat="1" applyFont="1" applyBorder="1" applyAlignment="1">
      <alignment horizontal="center"/>
    </xf>
    <xf numFmtId="192" fontId="20" fillId="0" borderId="75" xfId="5" applyNumberFormat="1" applyFont="1" applyBorder="1" applyAlignment="1">
      <alignment horizontal="center" vertical="top"/>
    </xf>
    <xf numFmtId="7" fontId="20" fillId="0" borderId="75" xfId="9" applyNumberFormat="1" applyFont="1" applyBorder="1" applyAlignment="1">
      <alignment horizontal="center" vertical="top"/>
    </xf>
    <xf numFmtId="192" fontId="20" fillId="0" borderId="5" xfId="6" applyNumberFormat="1" applyFont="1" applyBorder="1" applyAlignment="1">
      <alignment horizontal="center" vertical="top"/>
    </xf>
    <xf numFmtId="8" fontId="20" fillId="0" borderId="75" xfId="9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left"/>
    </xf>
    <xf numFmtId="0" fontId="44" fillId="0" borderId="107" xfId="0" applyFont="1" applyBorder="1" applyAlignment="1">
      <alignment horizontal="left"/>
    </xf>
    <xf numFmtId="0" fontId="44" fillId="0" borderId="107" xfId="0" applyFont="1" applyBorder="1" applyAlignment="1">
      <alignment horizontal="center"/>
    </xf>
    <xf numFmtId="185" fontId="0" fillId="0" borderId="108" xfId="0" applyNumberFormat="1" applyBorder="1" applyAlignment="1">
      <alignment horizontal="center"/>
    </xf>
    <xf numFmtId="185" fontId="0" fillId="0" borderId="109" xfId="0" applyNumberFormat="1" applyBorder="1" applyAlignment="1">
      <alignment horizontal="center"/>
    </xf>
    <xf numFmtId="15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0" fontId="0" fillId="0" borderId="12" xfId="0" applyNumberFormat="1" applyBorder="1" applyAlignment="1">
      <alignment horizontal="center"/>
    </xf>
    <xf numFmtId="15" fontId="0" fillId="4" borderId="12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173" fontId="0" fillId="4" borderId="12" xfId="0" applyNumberFormat="1" applyFill="1" applyBorder="1" applyAlignment="1">
      <alignment horizontal="center"/>
    </xf>
    <xf numFmtId="0" fontId="0" fillId="4" borderId="12" xfId="0" applyFill="1" applyBorder="1"/>
    <xf numFmtId="20" fontId="0" fillId="4" borderId="12" xfId="0" applyNumberFormat="1" applyFill="1" applyBorder="1" applyAlignment="1">
      <alignment horizontal="center"/>
    </xf>
    <xf numFmtId="175" fontId="0" fillId="0" borderId="12" xfId="0" applyNumberFormat="1" applyBorder="1" applyAlignment="1">
      <alignment horizontal="center"/>
    </xf>
    <xf numFmtId="169" fontId="0" fillId="0" borderId="0" xfId="0" applyNumberFormat="1"/>
    <xf numFmtId="0" fontId="0" fillId="5" borderId="0" xfId="0" applyFill="1"/>
    <xf numFmtId="0" fontId="3" fillId="5" borderId="0" xfId="0" applyFont="1" applyFill="1"/>
    <xf numFmtId="16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5" fontId="0" fillId="5" borderId="0" xfId="0" applyNumberFormat="1" applyFill="1" applyAlignment="1">
      <alignment horizontal="right"/>
    </xf>
    <xf numFmtId="7" fontId="39" fillId="4" borderId="12" xfId="0" applyNumberFormat="1" applyFont="1" applyFill="1" applyBorder="1" applyAlignment="1">
      <alignment horizontal="center" vertical="center"/>
    </xf>
    <xf numFmtId="175" fontId="3" fillId="0" borderId="2" xfId="0" applyNumberFormat="1" applyFont="1" applyBorder="1" applyAlignment="1">
      <alignment horizontal="right"/>
    </xf>
    <xf numFmtId="17" fontId="3" fillId="0" borderId="0" xfId="0" quotePrefix="1" applyNumberFormat="1" applyFont="1" applyAlignment="1">
      <alignment horizontal="left"/>
    </xf>
    <xf numFmtId="9" fontId="3" fillId="0" borderId="12" xfId="0" applyNumberFormat="1" applyFont="1" applyBorder="1" applyAlignment="1">
      <alignment horizontal="center"/>
    </xf>
    <xf numFmtId="185" fontId="0" fillId="0" borderId="109" xfId="0" applyNumberFormat="1" applyBorder="1" applyAlignment="1">
      <alignment horizontal="left"/>
    </xf>
    <xf numFmtId="15" fontId="45" fillId="4" borderId="12" xfId="0" applyNumberFormat="1" applyFont="1" applyFill="1" applyBorder="1" applyAlignment="1">
      <alignment horizontal="center"/>
    </xf>
    <xf numFmtId="0" fontId="45" fillId="4" borderId="12" xfId="0" applyFont="1" applyFill="1" applyBorder="1" applyAlignment="1">
      <alignment horizontal="center"/>
    </xf>
    <xf numFmtId="20" fontId="45" fillId="4" borderId="12" xfId="0" applyNumberFormat="1" applyFont="1" applyFill="1" applyBorder="1" applyAlignment="1">
      <alignment horizontal="center"/>
    </xf>
    <xf numFmtId="0" fontId="45" fillId="4" borderId="12" xfId="0" applyFont="1" applyFill="1" applyBorder="1" applyAlignment="1">
      <alignment horizontal="left"/>
    </xf>
    <xf numFmtId="0" fontId="4" fillId="0" borderId="12" xfId="0" applyFont="1" applyBorder="1" applyAlignment="1">
      <alignment horizontal="center" vertical="center"/>
    </xf>
    <xf numFmtId="0" fontId="46" fillId="0" borderId="12" xfId="0" applyFont="1" applyBorder="1" applyAlignment="1">
      <alignment horizontal="center" vertical="center" wrapText="1"/>
    </xf>
    <xf numFmtId="196" fontId="4" fillId="0" borderId="12" xfId="0" applyNumberFormat="1" applyFont="1" applyBorder="1" applyAlignment="1">
      <alignment horizontal="center" vertical="center"/>
    </xf>
    <xf numFmtId="20" fontId="4" fillId="0" borderId="12" xfId="0" applyNumberFormat="1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/>
    </xf>
    <xf numFmtId="175" fontId="3" fillId="0" borderId="12" xfId="0" applyNumberFormat="1" applyFont="1" applyBorder="1" applyAlignment="1">
      <alignment horizontal="center"/>
    </xf>
    <xf numFmtId="175" fontId="4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0" fontId="3" fillId="0" borderId="12" xfId="0" applyNumberFormat="1" applyFont="1" applyBorder="1" applyAlignment="1">
      <alignment horizontal="center" vertical="center"/>
    </xf>
    <xf numFmtId="15" fontId="3" fillId="0" borderId="12" xfId="0" applyNumberFormat="1" applyFont="1" applyBorder="1" applyAlignment="1">
      <alignment horizontal="center" vertical="center"/>
    </xf>
    <xf numFmtId="0" fontId="0" fillId="9" borderId="0" xfId="0" applyFill="1"/>
    <xf numFmtId="0" fontId="8" fillId="9" borderId="0" xfId="0" applyFont="1" applyFill="1"/>
    <xf numFmtId="0" fontId="3" fillId="9" borderId="0" xfId="0" applyFont="1" applyFill="1"/>
    <xf numFmtId="0" fontId="3" fillId="0" borderId="0" xfId="0" applyFont="1"/>
    <xf numFmtId="17" fontId="0" fillId="9" borderId="0" xfId="0" applyNumberFormat="1" applyFill="1"/>
    <xf numFmtId="15" fontId="3" fillId="4" borderId="12" xfId="0" applyNumberFormat="1" applyFont="1" applyFill="1" applyBorder="1" applyAlignment="1">
      <alignment horizontal="center"/>
    </xf>
    <xf numFmtId="20" fontId="3" fillId="4" borderId="12" xfId="0" applyNumberFormat="1" applyFont="1" applyFill="1" applyBorder="1" applyAlignment="1">
      <alignment horizontal="center"/>
    </xf>
    <xf numFmtId="0" fontId="44" fillId="4" borderId="12" xfId="0" applyFont="1" applyFill="1" applyBorder="1" applyAlignment="1">
      <alignment horizontal="center"/>
    </xf>
    <xf numFmtId="20" fontId="3" fillId="4" borderId="12" xfId="0" quotePrefix="1" applyNumberFormat="1" applyFont="1" applyFill="1" applyBorder="1" applyAlignment="1">
      <alignment horizontal="center"/>
    </xf>
    <xf numFmtId="175" fontId="22" fillId="0" borderId="0" xfId="0" applyNumberFormat="1" applyFont="1" applyAlignment="1">
      <alignment horizontal="center"/>
    </xf>
    <xf numFmtId="15" fontId="3" fillId="4" borderId="20" xfId="0" applyNumberFormat="1" applyFont="1" applyFill="1" applyBorder="1" applyAlignment="1">
      <alignment horizontal="center"/>
    </xf>
    <xf numFmtId="49" fontId="3" fillId="4" borderId="12" xfId="0" applyNumberFormat="1" applyFont="1" applyFill="1" applyBorder="1" applyAlignment="1">
      <alignment horizontal="center"/>
    </xf>
    <xf numFmtId="2" fontId="3" fillId="4" borderId="12" xfId="0" applyNumberFormat="1" applyFont="1" applyFill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95" xfId="0" applyFont="1" applyBorder="1" applyAlignment="1">
      <alignment horizontal="center"/>
    </xf>
    <xf numFmtId="0" fontId="8" fillId="0" borderId="96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70" fontId="8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left" vertical="center" wrapText="1"/>
    </xf>
    <xf numFmtId="170" fontId="10" fillId="6" borderId="12" xfId="0" applyNumberFormat="1" applyFont="1" applyFill="1" applyBorder="1" applyAlignment="1">
      <alignment horizontal="center"/>
    </xf>
    <xf numFmtId="0" fontId="10" fillId="6" borderId="105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8" fillId="0" borderId="106" xfId="0" applyFont="1" applyBorder="1" applyAlignment="1">
      <alignment horizontal="center"/>
    </xf>
    <xf numFmtId="0" fontId="8" fillId="0" borderId="106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70" fontId="10" fillId="0" borderId="0" xfId="0" applyNumberFormat="1" applyFont="1" applyAlignment="1">
      <alignment horizontal="center"/>
    </xf>
    <xf numFmtId="170" fontId="4" fillId="0" borderId="11" xfId="0" applyNumberFormat="1" applyFont="1" applyBorder="1" applyAlignment="1">
      <alignment horizontal="center"/>
    </xf>
    <xf numFmtId="170" fontId="4" fillId="0" borderId="4" xfId="0" applyNumberFormat="1" applyFont="1" applyBorder="1" applyAlignment="1">
      <alignment horizontal="center"/>
    </xf>
    <xf numFmtId="170" fontId="4" fillId="0" borderId="5" xfId="0" applyNumberFormat="1" applyFont="1" applyBorder="1" applyAlignment="1">
      <alignment horizontal="center"/>
    </xf>
    <xf numFmtId="194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171" fontId="4" fillId="0" borderId="0" xfId="0" applyNumberFormat="1" applyFont="1" applyAlignment="1">
      <alignment horizontal="left"/>
    </xf>
    <xf numFmtId="170" fontId="16" fillId="0" borderId="48" xfId="0" applyNumberFormat="1" applyFont="1" applyBorder="1" applyAlignment="1">
      <alignment horizontal="center"/>
    </xf>
    <xf numFmtId="170" fontId="16" fillId="0" borderId="0" xfId="0" applyNumberFormat="1" applyFont="1" applyAlignment="1">
      <alignment horizontal="center"/>
    </xf>
    <xf numFmtId="170" fontId="16" fillId="0" borderId="56" xfId="0" applyNumberFormat="1" applyFont="1" applyBorder="1" applyAlignment="1">
      <alignment horizontal="center"/>
    </xf>
    <xf numFmtId="170" fontId="34" fillId="0" borderId="4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6" fillId="0" borderId="53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3" fontId="4" fillId="0" borderId="31" xfId="0" quotePrefix="1" applyNumberFormat="1" applyFont="1" applyBorder="1" applyAlignment="1">
      <alignment horizontal="center"/>
    </xf>
    <xf numFmtId="3" fontId="4" fillId="0" borderId="34" xfId="0" quotePrefix="1" applyNumberFormat="1" applyFont="1" applyBorder="1" applyAlignment="1">
      <alignment horizontal="center"/>
    </xf>
    <xf numFmtId="3" fontId="4" fillId="0" borderId="35" xfId="0" quotePrefix="1" applyNumberFormat="1" applyFont="1" applyBorder="1" applyAlignment="1">
      <alignment horizontal="center"/>
    </xf>
    <xf numFmtId="180" fontId="4" fillId="0" borderId="53" xfId="0" applyNumberFormat="1" applyFont="1" applyBorder="1" applyAlignment="1">
      <alignment horizontal="center"/>
    </xf>
    <xf numFmtId="180" fontId="4" fillId="0" borderId="82" xfId="0" applyNumberFormat="1" applyFont="1" applyBorder="1" applyAlignment="1">
      <alignment horizontal="center"/>
    </xf>
    <xf numFmtId="192" fontId="20" fillId="0" borderId="53" xfId="0" applyNumberFormat="1" applyFont="1" applyBorder="1" applyAlignment="1">
      <alignment horizontal="center" vertical="top"/>
    </xf>
    <xf numFmtId="192" fontId="20" fillId="0" borderId="25" xfId="0" applyNumberFormat="1" applyFont="1" applyBorder="1" applyAlignment="1">
      <alignment horizontal="center" vertical="top"/>
    </xf>
    <xf numFmtId="192" fontId="20" fillId="0" borderId="82" xfId="0" applyNumberFormat="1" applyFont="1" applyBorder="1" applyAlignment="1">
      <alignment horizontal="center" vertical="top"/>
    </xf>
    <xf numFmtId="44" fontId="20" fillId="0" borderId="53" xfId="2" applyFont="1" applyBorder="1" applyAlignment="1">
      <alignment horizontal="center" vertical="top"/>
    </xf>
    <xf numFmtId="44" fontId="20" fillId="0" borderId="25" xfId="2" applyFont="1" applyBorder="1" applyAlignment="1">
      <alignment horizontal="center" vertical="top"/>
    </xf>
    <xf numFmtId="44" fontId="20" fillId="0" borderId="82" xfId="2" applyFont="1" applyBorder="1" applyAlignment="1">
      <alignment horizontal="center" vertical="top"/>
    </xf>
    <xf numFmtId="3" fontId="4" fillId="0" borderId="53" xfId="0" quotePrefix="1" applyNumberFormat="1" applyFont="1" applyBorder="1" applyAlignment="1">
      <alignment horizontal="center"/>
    </xf>
    <xf numFmtId="3" fontId="4" fillId="0" borderId="82" xfId="0" quotePrefix="1" applyNumberFormat="1" applyFont="1" applyBorder="1" applyAlignment="1">
      <alignment horizontal="center"/>
    </xf>
    <xf numFmtId="173" fontId="3" fillId="0" borderId="0" xfId="6" applyNumberFormat="1" applyAlignment="1">
      <alignment horizontal="center"/>
    </xf>
    <xf numFmtId="194" fontId="3" fillId="0" borderId="0" xfId="6" applyNumberFormat="1" applyAlignment="1">
      <alignment horizontal="center"/>
    </xf>
    <xf numFmtId="170" fontId="8" fillId="0" borderId="0" xfId="6" applyNumberFormat="1" applyFont="1" applyAlignment="1">
      <alignment horizontal="center"/>
    </xf>
    <xf numFmtId="171" fontId="4" fillId="0" borderId="0" xfId="6" applyNumberFormat="1" applyFont="1" applyAlignment="1">
      <alignment horizontal="left"/>
    </xf>
    <xf numFmtId="170" fontId="4" fillId="0" borderId="48" xfId="6" applyNumberFormat="1" applyFont="1" applyBorder="1" applyAlignment="1">
      <alignment horizontal="center"/>
    </xf>
    <xf numFmtId="170" fontId="4" fillId="0" borderId="0" xfId="6" applyNumberFormat="1" applyFont="1" applyAlignment="1">
      <alignment horizontal="center"/>
    </xf>
    <xf numFmtId="170" fontId="4" fillId="0" borderId="56" xfId="6" applyNumberFormat="1" applyFont="1" applyBorder="1" applyAlignment="1">
      <alignment horizontal="center"/>
    </xf>
    <xf numFmtId="170" fontId="5" fillId="0" borderId="48" xfId="6" applyNumberFormat="1" applyFont="1" applyBorder="1" applyAlignment="1">
      <alignment horizontal="center"/>
    </xf>
    <xf numFmtId="0" fontId="3" fillId="0" borderId="0" xfId="6" applyAlignment="1">
      <alignment horizontal="center"/>
    </xf>
    <xf numFmtId="0" fontId="36" fillId="0" borderId="53" xfId="6" applyFont="1" applyBorder="1" applyAlignment="1">
      <alignment horizontal="center" vertical="center"/>
    </xf>
    <xf numFmtId="0" fontId="36" fillId="0" borderId="25" xfId="6" applyFont="1" applyBorder="1" applyAlignment="1">
      <alignment horizontal="center" vertical="center"/>
    </xf>
    <xf numFmtId="3" fontId="4" fillId="0" borderId="31" xfId="6" quotePrefix="1" applyNumberFormat="1" applyFont="1" applyBorder="1" applyAlignment="1">
      <alignment horizontal="center"/>
    </xf>
    <xf numFmtId="3" fontId="4" fillId="0" borderId="34" xfId="6" quotePrefix="1" applyNumberFormat="1" applyFont="1" applyBorder="1" applyAlignment="1">
      <alignment horizontal="center"/>
    </xf>
    <xf numFmtId="3" fontId="4" fillId="0" borderId="35" xfId="6" quotePrefix="1" applyNumberFormat="1" applyFont="1" applyBorder="1" applyAlignment="1">
      <alignment horizontal="center"/>
    </xf>
    <xf numFmtId="180" fontId="4" fillId="0" borderId="31" xfId="6" applyNumberFormat="1" applyFont="1" applyBorder="1" applyAlignment="1">
      <alignment horizontal="center"/>
    </xf>
    <xf numFmtId="180" fontId="4" fillId="0" borderId="78" xfId="6" applyNumberFormat="1" applyFont="1" applyBorder="1" applyAlignment="1">
      <alignment horizontal="center"/>
    </xf>
    <xf numFmtId="192" fontId="20" fillId="0" borderId="25" xfId="6" applyNumberFormat="1" applyFont="1" applyBorder="1" applyAlignment="1">
      <alignment horizontal="center" vertical="top"/>
    </xf>
    <xf numFmtId="192" fontId="20" fillId="0" borderId="82" xfId="6" applyNumberFormat="1" applyFont="1" applyBorder="1" applyAlignment="1">
      <alignment horizontal="center" vertical="top"/>
    </xf>
    <xf numFmtId="3" fontId="4" fillId="0" borderId="53" xfId="6" quotePrefix="1" applyNumberFormat="1" applyFont="1" applyBorder="1" applyAlignment="1">
      <alignment horizontal="center"/>
    </xf>
    <xf numFmtId="3" fontId="4" fillId="0" borderId="82" xfId="6" quotePrefix="1" applyNumberFormat="1" applyFont="1" applyBorder="1" applyAlignment="1">
      <alignment horizontal="center"/>
    </xf>
    <xf numFmtId="17" fontId="20" fillId="0" borderId="0" xfId="0" quotePrefix="1" applyNumberFormat="1" applyFont="1" applyAlignment="1">
      <alignment horizontal="left"/>
    </xf>
    <xf numFmtId="17" fontId="20" fillId="0" borderId="0" xfId="0" applyNumberFormat="1" applyFont="1" applyAlignment="1">
      <alignment horizontal="left"/>
    </xf>
    <xf numFmtId="170" fontId="21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left"/>
    </xf>
    <xf numFmtId="0" fontId="20" fillId="0" borderId="105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9" fontId="22" fillId="0" borderId="105" xfId="4" applyFont="1" applyBorder="1" applyAlignment="1">
      <alignment horizontal="center"/>
    </xf>
    <xf numFmtId="9" fontId="22" fillId="0" borderId="14" xfId="4" applyFont="1" applyBorder="1" applyAlignment="1">
      <alignment horizontal="center"/>
    </xf>
    <xf numFmtId="9" fontId="22" fillId="0" borderId="12" xfId="4" applyFont="1" applyBorder="1" applyAlignment="1">
      <alignment horizontal="center"/>
    </xf>
    <xf numFmtId="2" fontId="22" fillId="0" borderId="12" xfId="0" applyNumberFormat="1" applyFont="1" applyBorder="1" applyAlignment="1">
      <alignment horizontal="center"/>
    </xf>
    <xf numFmtId="170" fontId="10" fillId="0" borderId="7" xfId="0" applyNumberFormat="1" applyFont="1" applyBorder="1" applyAlignment="1">
      <alignment horizontal="center"/>
    </xf>
    <xf numFmtId="170" fontId="10" fillId="0" borderId="9" xfId="0" applyNumberFormat="1" applyFont="1" applyBorder="1" applyAlignment="1">
      <alignment horizontal="center"/>
    </xf>
    <xf numFmtId="170" fontId="10" fillId="0" borderId="8" xfId="0" applyNumberFormat="1" applyFont="1" applyBorder="1" applyAlignment="1">
      <alignment horizontal="center"/>
    </xf>
    <xf numFmtId="170" fontId="10" fillId="0" borderId="11" xfId="0" applyNumberFormat="1" applyFont="1" applyBorder="1" applyAlignment="1">
      <alignment horizontal="center"/>
    </xf>
    <xf numFmtId="170" fontId="10" fillId="0" borderId="4" xfId="0" applyNumberFormat="1" applyFont="1" applyBorder="1" applyAlignment="1">
      <alignment horizontal="center"/>
    </xf>
    <xf numFmtId="170" fontId="10" fillId="0" borderId="5" xfId="0" applyNumberFormat="1" applyFont="1" applyBorder="1" applyAlignment="1">
      <alignment horizontal="center"/>
    </xf>
    <xf numFmtId="170" fontId="7" fillId="0" borderId="0" xfId="0" applyNumberFormat="1" applyFont="1"/>
    <xf numFmtId="0" fontId="0" fillId="0" borderId="0" xfId="0"/>
    <xf numFmtId="17" fontId="7" fillId="0" borderId="0" xfId="0" quotePrefix="1" applyNumberFormat="1" applyFont="1" applyAlignment="1">
      <alignment horizontal="left"/>
    </xf>
    <xf numFmtId="0" fontId="0" fillId="0" borderId="0" xfId="0" applyAlignment="1">
      <alignment horizontal="left"/>
    </xf>
    <xf numFmtId="170" fontId="10" fillId="0" borderId="1" xfId="0" applyNumberFormat="1" applyFont="1" applyBorder="1" applyAlignment="1">
      <alignment horizontal="center"/>
    </xf>
    <xf numFmtId="170" fontId="10" fillId="0" borderId="3" xfId="0" applyNumberFormat="1" applyFont="1" applyBorder="1" applyAlignment="1">
      <alignment horizontal="center"/>
    </xf>
    <xf numFmtId="170" fontId="10" fillId="0" borderId="50" xfId="0" applyNumberFormat="1" applyFont="1" applyBorder="1" applyAlignment="1">
      <alignment horizontal="center"/>
    </xf>
    <xf numFmtId="170" fontId="10" fillId="0" borderId="49" xfId="0" applyNumberFormat="1" applyFont="1" applyBorder="1" applyAlignment="1">
      <alignment horizontal="center"/>
    </xf>
    <xf numFmtId="170" fontId="10" fillId="0" borderId="55" xfId="0" applyNumberFormat="1" applyFont="1" applyBorder="1" applyAlignment="1">
      <alignment horizontal="center"/>
    </xf>
    <xf numFmtId="170" fontId="10" fillId="0" borderId="70" xfId="0" applyNumberFormat="1" applyFont="1" applyBorder="1" applyAlignment="1">
      <alignment horizontal="center"/>
    </xf>
    <xf numFmtId="170" fontId="10" fillId="0" borderId="7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70" fontId="10" fillId="0" borderId="68" xfId="0" applyNumberFormat="1" applyFont="1" applyBorder="1" applyAlignment="1">
      <alignment horizontal="center" vertical="center" wrapText="1"/>
    </xf>
    <xf numFmtId="170" fontId="10" fillId="0" borderId="65" xfId="0" applyNumberFormat="1" applyFont="1" applyBorder="1" applyAlignment="1">
      <alignment horizontal="center" vertical="center" wrapText="1"/>
    </xf>
    <xf numFmtId="170" fontId="10" fillId="0" borderId="83" xfId="0" applyNumberFormat="1" applyFont="1" applyBorder="1" applyAlignment="1">
      <alignment horizontal="center"/>
    </xf>
    <xf numFmtId="170" fontId="10" fillId="0" borderId="44" xfId="0" applyNumberFormat="1" applyFont="1" applyBorder="1" applyAlignment="1">
      <alignment horizontal="center"/>
    </xf>
    <xf numFmtId="170" fontId="10" fillId="0" borderId="75" xfId="0" applyNumberFormat="1" applyFont="1" applyBorder="1" applyAlignment="1">
      <alignment horizontal="center"/>
    </xf>
    <xf numFmtId="170" fontId="10" fillId="0" borderId="84" xfId="0" applyNumberFormat="1" applyFont="1" applyBorder="1" applyAlignment="1">
      <alignment horizontal="center"/>
    </xf>
    <xf numFmtId="170" fontId="10" fillId="0" borderId="2" xfId="0" applyNumberFormat="1" applyFont="1" applyBorder="1" applyAlignment="1">
      <alignment horizontal="center"/>
    </xf>
    <xf numFmtId="170" fontId="10" fillId="0" borderId="97" xfId="0" applyNumberFormat="1" applyFont="1" applyBorder="1" applyAlignment="1">
      <alignment horizontal="center"/>
    </xf>
    <xf numFmtId="170" fontId="10" fillId="0" borderId="73" xfId="0" applyNumberFormat="1" applyFont="1" applyBorder="1" applyAlignment="1">
      <alignment horizontal="center"/>
    </xf>
    <xf numFmtId="170" fontId="10" fillId="0" borderId="76" xfId="0" applyNumberFormat="1" applyFont="1" applyBorder="1" applyAlignment="1">
      <alignment horizontal="center"/>
    </xf>
    <xf numFmtId="170" fontId="10" fillId="0" borderId="69" xfId="0" applyNumberFormat="1" applyFont="1" applyBorder="1" applyAlignment="1">
      <alignment horizontal="center" vertical="center" wrapText="1"/>
    </xf>
    <xf numFmtId="170" fontId="10" fillId="0" borderId="72" xfId="0" applyNumberFormat="1" applyFont="1" applyBorder="1" applyAlignment="1">
      <alignment horizontal="center" vertical="center" wrapText="1"/>
    </xf>
    <xf numFmtId="170" fontId="10" fillId="0" borderId="62" xfId="0" applyNumberFormat="1" applyFont="1" applyBorder="1" applyAlignment="1">
      <alignment horizontal="center" vertical="center" wrapText="1"/>
    </xf>
    <xf numFmtId="170" fontId="10" fillId="0" borderId="64" xfId="0" applyNumberFormat="1" applyFont="1" applyBorder="1" applyAlignment="1">
      <alignment horizontal="center"/>
    </xf>
    <xf numFmtId="17" fontId="0" fillId="0" borderId="0" xfId="0" quotePrefix="1" applyNumberFormat="1" applyAlignment="1">
      <alignment horizontal="center"/>
    </xf>
  </cellXfs>
  <cellStyles count="11">
    <cellStyle name="Comma" xfId="1" builtinId="3"/>
    <cellStyle name="Comma 2" xfId="8" xr:uid="{9D59CF54-CA46-42BA-B05D-65350A3D4809}"/>
    <cellStyle name="Currency" xfId="2" builtinId="4"/>
    <cellStyle name="Currency 2" xfId="9" xr:uid="{E1E76250-F1EC-461B-8CFF-EA9B04F771EE}"/>
    <cellStyle name="Normal" xfId="0" builtinId="0"/>
    <cellStyle name="Normal 2" xfId="3" xr:uid="{00000000-0005-0000-0000-000003000000}"/>
    <cellStyle name="Normal 2 2" xfId="6" xr:uid="{00000000-0005-0000-0000-000004000000}"/>
    <cellStyle name="Normal 3" xfId="5" xr:uid="{00000000-0005-0000-0000-000005000000}"/>
    <cellStyle name="Normal 4" xfId="7" xr:uid="{FC866E34-355F-43D4-89B3-55B809E334A7}"/>
    <cellStyle name="Normal 5" xfId="10" xr:uid="{39284E6C-85C5-4667-AD4B-DF2F0F09264C}"/>
    <cellStyle name="Percent" xfId="4" builtinId="5"/>
  </cellStyles>
  <dxfs count="0"/>
  <tableStyles count="1" defaultTableStyle="TableStyleMedium9" defaultPivotStyle="PivotStyleLight16">
    <tableStyle name="Invisible" pivot="0" table="0" count="0" xr9:uid="{74357D42-F124-4FBA-88E6-EE8CC0A6943C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trus%20Ackerman/AppData/Local/Microsoft/Windows/INetCache/Content.Outlook/B1LJ7WIV/1129%20Ri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%201/Documents/Google%20Drive/4%20KZN%20DOT/2%20New%20Payment%20Certificates/46%20Final%20April%202020%20Claims/ZNT1176A/Matune%20Trade%20and%20Invest%20Payment%20Certificate%2044%20April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129%201%20to%2031%20Recheck%20Ma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7"/>
      <sheetName val="Sheet6"/>
      <sheetName val="Sheet5"/>
      <sheetName val="Sheet4"/>
      <sheetName val="Sheet3"/>
      <sheetName val="Sheet2"/>
    </sheetNames>
    <sheetDataSet>
      <sheetData sheetId="0" refreshError="1"/>
      <sheetData sheetId="1">
        <row r="4">
          <cell r="A4" t="str">
            <v>10R</v>
          </cell>
          <cell r="B4">
            <v>1</v>
          </cell>
        </row>
        <row r="5">
          <cell r="A5" t="str">
            <v>1A1F</v>
          </cell>
          <cell r="B5">
            <v>1</v>
          </cell>
        </row>
        <row r="6">
          <cell r="A6" t="str">
            <v>1A1R</v>
          </cell>
          <cell r="B6">
            <v>1</v>
          </cell>
        </row>
        <row r="7">
          <cell r="A7" t="str">
            <v>1A4F</v>
          </cell>
          <cell r="B7">
            <v>1</v>
          </cell>
        </row>
        <row r="8">
          <cell r="A8" t="str">
            <v>1A4R</v>
          </cell>
          <cell r="B8">
            <v>1</v>
          </cell>
        </row>
        <row r="9">
          <cell r="A9" t="str">
            <v>1B.1F</v>
          </cell>
          <cell r="B9">
            <v>1</v>
          </cell>
        </row>
        <row r="10">
          <cell r="A10" t="str">
            <v>1B.1R</v>
          </cell>
          <cell r="B10">
            <v>1</v>
          </cell>
        </row>
        <row r="11">
          <cell r="A11" t="str">
            <v>1B2F</v>
          </cell>
          <cell r="B11">
            <v>1</v>
          </cell>
        </row>
        <row r="12">
          <cell r="A12" t="str">
            <v>1B2R</v>
          </cell>
          <cell r="B12">
            <v>1</v>
          </cell>
        </row>
        <row r="13">
          <cell r="A13" t="str">
            <v>5F</v>
          </cell>
          <cell r="B13">
            <v>1</v>
          </cell>
        </row>
        <row r="14">
          <cell r="A14" t="str">
            <v>5R</v>
          </cell>
          <cell r="B14">
            <v>1</v>
          </cell>
        </row>
        <row r="15">
          <cell r="A15" t="str">
            <v>6AF</v>
          </cell>
          <cell r="B15">
            <v>1</v>
          </cell>
        </row>
        <row r="16">
          <cell r="A16" t="str">
            <v>6AR</v>
          </cell>
          <cell r="B16">
            <v>1</v>
          </cell>
        </row>
        <row r="17">
          <cell r="A17" t="str">
            <v>6BF</v>
          </cell>
          <cell r="B17">
            <v>1</v>
          </cell>
        </row>
        <row r="18">
          <cell r="A18" t="str">
            <v>6BR</v>
          </cell>
          <cell r="B18">
            <v>1</v>
          </cell>
        </row>
        <row r="19">
          <cell r="A19" t="str">
            <v>6CF</v>
          </cell>
          <cell r="B19">
            <v>1</v>
          </cell>
        </row>
        <row r="20">
          <cell r="A20" t="str">
            <v>6CR</v>
          </cell>
          <cell r="B20">
            <v>1</v>
          </cell>
        </row>
        <row r="21">
          <cell r="A21" t="str">
            <v>7AF</v>
          </cell>
          <cell r="B21">
            <v>1</v>
          </cell>
        </row>
        <row r="22">
          <cell r="A22" t="str">
            <v>7AR</v>
          </cell>
          <cell r="B22">
            <v>1</v>
          </cell>
        </row>
        <row r="23">
          <cell r="A23" t="str">
            <v>7CF</v>
          </cell>
          <cell r="B23">
            <v>1</v>
          </cell>
        </row>
        <row r="24">
          <cell r="A24" t="str">
            <v>7CR</v>
          </cell>
          <cell r="B24">
            <v>1</v>
          </cell>
        </row>
        <row r="25">
          <cell r="A25" t="str">
            <v>8F</v>
          </cell>
          <cell r="B25">
            <v>1</v>
          </cell>
        </row>
        <row r="26">
          <cell r="A26" t="str">
            <v>8R</v>
          </cell>
          <cell r="B26">
            <v>1</v>
          </cell>
        </row>
        <row r="27">
          <cell r="A27" t="str">
            <v>9AF</v>
          </cell>
          <cell r="B27">
            <v>1</v>
          </cell>
        </row>
        <row r="28">
          <cell r="A28" t="str">
            <v>9AR</v>
          </cell>
          <cell r="B28">
            <v>1</v>
          </cell>
        </row>
        <row r="29">
          <cell r="A29" t="str">
            <v>9BF</v>
          </cell>
          <cell r="B29">
            <v>1</v>
          </cell>
        </row>
        <row r="30">
          <cell r="A30" t="str">
            <v>9BR</v>
          </cell>
          <cell r="B30">
            <v>1</v>
          </cell>
        </row>
      </sheetData>
      <sheetData sheetId="2" refreshError="1"/>
      <sheetData sheetId="3"/>
      <sheetData sheetId="4" refreshError="1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S &amp; KPIs"/>
      <sheetName val="FORM A"/>
      <sheetName val="FORM B"/>
      <sheetName val="FORM C"/>
      <sheetName val="FORM D"/>
      <sheetName val="FORM E"/>
      <sheetName val="FORM F1 SUB - STD BUS"/>
      <sheetName val="FORM F2 UNSUB - STD BUS "/>
      <sheetName val="FORM G1"/>
      <sheetName val="FORM G2"/>
      <sheetName val="FORM H"/>
      <sheetName val="FORM I1 SUB STD NORMAL"/>
      <sheetName val="FORM I1 SUB STD SCHOOL H"/>
      <sheetName val="FORM I1 SUB STD PUBLIC HOLIDAY"/>
      <sheetName val="FORM I2 UNSUB STD"/>
      <sheetName val="SH SK 1 to 3"/>
      <sheetName val="SH SK 4 to 30"/>
      <sheetName val="PH S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86">
          <cell r="N186">
            <v>0</v>
          </cell>
          <cell r="O186">
            <v>0</v>
          </cell>
        </row>
      </sheetData>
      <sheetData sheetId="12">
        <row r="183">
          <cell r="N183">
            <v>4207</v>
          </cell>
          <cell r="O183">
            <v>154891.50000000012</v>
          </cell>
        </row>
      </sheetData>
      <sheetData sheetId="13">
        <row r="186">
          <cell r="O186">
            <v>75</v>
          </cell>
          <cell r="P186">
            <v>2837.7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1"/>
      <sheetName val="1129 Trips"/>
    </sheetNames>
    <sheetDataSet>
      <sheetData sheetId="0"/>
      <sheetData sheetId="1">
        <row r="4">
          <cell r="A4" t="str">
            <v>10F</v>
          </cell>
          <cell r="B4">
            <v>23</v>
          </cell>
        </row>
        <row r="5">
          <cell r="A5" t="str">
            <v>10R</v>
          </cell>
          <cell r="B5">
            <v>23</v>
          </cell>
        </row>
        <row r="6">
          <cell r="A6" t="str">
            <v>1A.3F</v>
          </cell>
          <cell r="B6">
            <v>4</v>
          </cell>
        </row>
        <row r="7">
          <cell r="A7" t="str">
            <v>1A.3R</v>
          </cell>
          <cell r="B7">
            <v>4</v>
          </cell>
        </row>
        <row r="8">
          <cell r="A8" t="str">
            <v>1A1F</v>
          </cell>
          <cell r="B8">
            <v>21</v>
          </cell>
        </row>
        <row r="9">
          <cell r="A9" t="str">
            <v>1A1R</v>
          </cell>
          <cell r="B9">
            <v>17</v>
          </cell>
        </row>
        <row r="10">
          <cell r="A10" t="str">
            <v>1A4F</v>
          </cell>
          <cell r="B10">
            <v>22</v>
          </cell>
        </row>
        <row r="11">
          <cell r="A11" t="str">
            <v>1A4R</v>
          </cell>
          <cell r="B11">
            <v>23</v>
          </cell>
        </row>
        <row r="12">
          <cell r="A12" t="str">
            <v>1B.1F</v>
          </cell>
          <cell r="B12">
            <v>21</v>
          </cell>
        </row>
        <row r="13">
          <cell r="A13" t="str">
            <v>1B.1R</v>
          </cell>
          <cell r="B13">
            <v>27</v>
          </cell>
        </row>
        <row r="14">
          <cell r="A14" t="str">
            <v>1B2F</v>
          </cell>
          <cell r="B14">
            <v>23</v>
          </cell>
        </row>
        <row r="15">
          <cell r="A15" t="str">
            <v>1B2R</v>
          </cell>
          <cell r="B15">
            <v>22</v>
          </cell>
        </row>
        <row r="16">
          <cell r="A16" t="str">
            <v>1C1F</v>
          </cell>
          <cell r="B16">
            <v>24</v>
          </cell>
        </row>
        <row r="17">
          <cell r="A17" t="str">
            <v>1C1R</v>
          </cell>
          <cell r="B17">
            <v>24</v>
          </cell>
        </row>
        <row r="18">
          <cell r="A18" t="str">
            <v>1C2F</v>
          </cell>
          <cell r="B18">
            <v>24</v>
          </cell>
        </row>
        <row r="19">
          <cell r="A19" t="str">
            <v>1C2R</v>
          </cell>
          <cell r="B19">
            <v>24</v>
          </cell>
        </row>
        <row r="20">
          <cell r="A20" t="str">
            <v>1DF</v>
          </cell>
          <cell r="B20">
            <v>20</v>
          </cell>
        </row>
        <row r="21">
          <cell r="A21" t="str">
            <v>1DR</v>
          </cell>
          <cell r="B21">
            <v>20</v>
          </cell>
        </row>
        <row r="22">
          <cell r="A22" t="str">
            <v>2F</v>
          </cell>
          <cell r="B22">
            <v>24</v>
          </cell>
        </row>
        <row r="23">
          <cell r="A23" t="str">
            <v>2R</v>
          </cell>
          <cell r="B23">
            <v>24</v>
          </cell>
        </row>
        <row r="24">
          <cell r="A24" t="str">
            <v>3F</v>
          </cell>
          <cell r="B24">
            <v>22</v>
          </cell>
        </row>
        <row r="25">
          <cell r="A25" t="str">
            <v>3R</v>
          </cell>
          <cell r="B25">
            <v>23</v>
          </cell>
        </row>
        <row r="26">
          <cell r="A26" t="str">
            <v>5F</v>
          </cell>
          <cell r="B26">
            <v>22</v>
          </cell>
        </row>
        <row r="27">
          <cell r="A27" t="str">
            <v>5R</v>
          </cell>
          <cell r="B27">
            <v>23</v>
          </cell>
        </row>
        <row r="28">
          <cell r="A28" t="str">
            <v>6AF</v>
          </cell>
          <cell r="B28">
            <v>26</v>
          </cell>
        </row>
        <row r="29">
          <cell r="A29" t="str">
            <v>6AR</v>
          </cell>
          <cell r="B29">
            <v>23</v>
          </cell>
        </row>
        <row r="30">
          <cell r="A30" t="str">
            <v>6BF</v>
          </cell>
          <cell r="B30">
            <v>4</v>
          </cell>
        </row>
        <row r="31">
          <cell r="A31" t="str">
            <v>6BR</v>
          </cell>
          <cell r="B31">
            <v>5</v>
          </cell>
        </row>
        <row r="32">
          <cell r="A32" t="str">
            <v>6CF</v>
          </cell>
          <cell r="B32">
            <v>22</v>
          </cell>
        </row>
        <row r="33">
          <cell r="A33" t="str">
            <v>6CR</v>
          </cell>
          <cell r="B33">
            <v>23</v>
          </cell>
        </row>
        <row r="34">
          <cell r="A34" t="str">
            <v>7AF</v>
          </cell>
          <cell r="B34">
            <v>0</v>
          </cell>
        </row>
        <row r="35">
          <cell r="A35" t="str">
            <v>7AR</v>
          </cell>
          <cell r="B35">
            <v>0</v>
          </cell>
        </row>
        <row r="36">
          <cell r="A36" t="str">
            <v>7CF</v>
          </cell>
          <cell r="B36">
            <v>26</v>
          </cell>
        </row>
        <row r="37">
          <cell r="A37" t="str">
            <v>7CR</v>
          </cell>
          <cell r="B37">
            <v>27</v>
          </cell>
        </row>
        <row r="38">
          <cell r="A38" t="str">
            <v>8F</v>
          </cell>
          <cell r="B38">
            <v>18</v>
          </cell>
        </row>
        <row r="39">
          <cell r="A39" t="str">
            <v>8R</v>
          </cell>
          <cell r="B39">
            <v>19</v>
          </cell>
        </row>
        <row r="40">
          <cell r="A40" t="str">
            <v>9AF</v>
          </cell>
          <cell r="B40">
            <v>22</v>
          </cell>
        </row>
        <row r="41">
          <cell r="A41" t="str">
            <v>9AR</v>
          </cell>
          <cell r="B41">
            <v>23</v>
          </cell>
        </row>
        <row r="42">
          <cell r="A42" t="str">
            <v>9BF</v>
          </cell>
          <cell r="B42">
            <v>22</v>
          </cell>
        </row>
        <row r="43">
          <cell r="A43" t="str">
            <v>9BR</v>
          </cell>
          <cell r="B43">
            <v>23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60"/>
  <sheetViews>
    <sheetView topLeftCell="A13" workbookViewId="0">
      <selection activeCell="D15" sqref="D15"/>
    </sheetView>
  </sheetViews>
  <sheetFormatPr defaultColWidth="9.1796875" defaultRowHeight="12.5" x14ac:dyDescent="0.25"/>
  <cols>
    <col min="1" max="1" width="4.453125" style="190" customWidth="1"/>
    <col min="2" max="2" width="11.1796875" style="190" customWidth="1"/>
    <col min="3" max="3" width="45.1796875" style="190" customWidth="1"/>
    <col min="4" max="6" width="18" style="190" customWidth="1"/>
    <col min="7" max="7" width="16.453125" style="190" customWidth="1"/>
    <col min="8" max="8" width="18.7265625" style="190" customWidth="1"/>
    <col min="9" max="9" width="15.7265625" style="190" customWidth="1"/>
    <col min="10" max="10" width="17.453125" style="190" customWidth="1"/>
    <col min="11" max="11" width="15.453125" style="190" customWidth="1"/>
    <col min="12" max="12" width="13.7265625" style="190" customWidth="1"/>
    <col min="13" max="13" width="22.1796875" style="190" customWidth="1"/>
    <col min="14" max="256" width="11.453125" style="190" customWidth="1"/>
    <col min="257" max="16384" width="9.1796875" style="190"/>
  </cols>
  <sheetData>
    <row r="2" spans="2:14" ht="13" x14ac:dyDescent="0.3">
      <c r="B2" s="52" t="str">
        <f>'FORM A'!A6</f>
        <v>CONTRACT : ZNT 1129</v>
      </c>
      <c r="C2" s="52"/>
      <c r="F2" s="52" t="s">
        <v>166</v>
      </c>
    </row>
    <row r="3" spans="2:14" ht="13" x14ac:dyDescent="0.3">
      <c r="B3" s="52"/>
      <c r="C3" s="52"/>
      <c r="J3" s="52" t="str">
        <f>'FORM A'!E6</f>
        <v>OPERATOR :</v>
      </c>
      <c r="K3" s="52" t="str">
        <f>'FORM A'!F6</f>
        <v>Ripple Effect 40 (Pty) Ltd</v>
      </c>
      <c r="L3" s="52"/>
    </row>
    <row r="4" spans="2:14" ht="13" x14ac:dyDescent="0.3">
      <c r="B4" s="52" t="str">
        <f>'FORM A'!C3</f>
        <v>PROVISION OF PUBLIC PASSENGER TRANSPORT MKUZE AND SURROUNDING</v>
      </c>
      <c r="C4" s="52"/>
      <c r="J4" s="52"/>
      <c r="K4" s="52"/>
      <c r="L4" s="52"/>
    </row>
    <row r="5" spans="2:14" ht="13" x14ac:dyDescent="0.3">
      <c r="B5" s="52"/>
      <c r="C5" s="52"/>
      <c r="J5" s="52" t="str">
        <f>'FORM A'!E8</f>
        <v>FOR MONTH :</v>
      </c>
      <c r="K5" s="191">
        <f>'FORM A'!F8</f>
        <v>45778</v>
      </c>
      <c r="L5" s="52"/>
    </row>
    <row r="6" spans="2:14" x14ac:dyDescent="0.25">
      <c r="E6" s="192"/>
    </row>
    <row r="7" spans="2:14" ht="13" thickBot="1" x14ac:dyDescent="0.3"/>
    <row r="8" spans="2:14" ht="13.5" thickTop="1" x14ac:dyDescent="0.3">
      <c r="D8" s="864" t="s">
        <v>167</v>
      </c>
      <c r="E8" s="865"/>
      <c r="F8" s="865"/>
      <c r="G8" s="866" t="s">
        <v>168</v>
      </c>
      <c r="H8" s="865"/>
      <c r="I8" s="867"/>
      <c r="J8" s="868" t="s">
        <v>5</v>
      </c>
      <c r="K8" s="869"/>
      <c r="L8" s="870"/>
      <c r="M8" s="193" t="s">
        <v>69</v>
      </c>
    </row>
    <row r="9" spans="2:14" ht="13.5" thickBot="1" x14ac:dyDescent="0.3">
      <c r="B9" s="194"/>
      <c r="C9" s="195"/>
      <c r="D9" s="196" t="s">
        <v>169</v>
      </c>
      <c r="E9" s="197" t="s">
        <v>279</v>
      </c>
      <c r="F9" s="198" t="s">
        <v>280</v>
      </c>
      <c r="G9" s="196" t="s">
        <v>169</v>
      </c>
      <c r="H9" s="197" t="s">
        <v>279</v>
      </c>
      <c r="I9" s="198" t="s">
        <v>280</v>
      </c>
      <c r="J9" s="196" t="s">
        <v>169</v>
      </c>
      <c r="K9" s="197" t="s">
        <v>279</v>
      </c>
      <c r="L9" s="198" t="s">
        <v>280</v>
      </c>
      <c r="M9" s="199" t="s">
        <v>170</v>
      </c>
    </row>
    <row r="10" spans="2:14" ht="13" x14ac:dyDescent="0.3">
      <c r="B10" s="200">
        <v>1</v>
      </c>
      <c r="C10" s="201" t="s">
        <v>171</v>
      </c>
      <c r="D10" s="202"/>
      <c r="E10" s="203"/>
      <c r="F10" s="204"/>
      <c r="G10" s="205"/>
      <c r="H10" s="206"/>
      <c r="I10" s="207"/>
      <c r="J10" s="203"/>
      <c r="K10" s="208"/>
      <c r="L10" s="206"/>
      <c r="M10" s="209"/>
    </row>
    <row r="11" spans="2:14" x14ac:dyDescent="0.25">
      <c r="B11" s="210">
        <v>1.1000000000000001</v>
      </c>
      <c r="C11" s="170" t="s">
        <v>172</v>
      </c>
      <c r="D11" s="377">
        <f>SUM(D12:D13)</f>
        <v>38</v>
      </c>
      <c r="E11" s="378"/>
      <c r="F11" s="379"/>
      <c r="G11" s="377"/>
      <c r="H11" s="378"/>
      <c r="I11" s="380"/>
      <c r="J11" s="381">
        <f>SUM(D11+G11)</f>
        <v>38</v>
      </c>
      <c r="K11" s="378">
        <f>SUM(E11+H11)</f>
        <v>0</v>
      </c>
      <c r="L11" s="382">
        <f>SUM(F11+I11)</f>
        <v>0</v>
      </c>
      <c r="M11" s="383">
        <f>SUM(J11:L11)</f>
        <v>38</v>
      </c>
    </row>
    <row r="12" spans="2:14" ht="13" x14ac:dyDescent="0.3">
      <c r="B12" s="210"/>
      <c r="C12" s="211" t="s">
        <v>173</v>
      </c>
      <c r="D12" s="384">
        <v>21</v>
      </c>
      <c r="E12" s="385"/>
      <c r="F12" s="386"/>
      <c r="G12" s="387"/>
      <c r="H12" s="385"/>
      <c r="I12" s="388"/>
      <c r="J12" s="387">
        <f t="shared" ref="J12:J19" si="0">SUM(D12+G12)</f>
        <v>21</v>
      </c>
      <c r="K12" s="378">
        <f t="shared" ref="K12:L19" si="1">SUM(E12+H12)</f>
        <v>0</v>
      </c>
      <c r="L12" s="382">
        <f t="shared" si="1"/>
        <v>0</v>
      </c>
      <c r="M12" s="389">
        <f t="shared" ref="M12:M23" si="2">SUM(J12:L12)</f>
        <v>21</v>
      </c>
    </row>
    <row r="13" spans="2:14" ht="13" x14ac:dyDescent="0.3">
      <c r="B13" s="210"/>
      <c r="C13" s="211" t="s">
        <v>174</v>
      </c>
      <c r="D13" s="384">
        <v>17</v>
      </c>
      <c r="E13" s="385"/>
      <c r="F13" s="386"/>
      <c r="G13" s="387"/>
      <c r="H13" s="385"/>
      <c r="I13" s="388"/>
      <c r="J13" s="387">
        <f t="shared" si="0"/>
        <v>17</v>
      </c>
      <c r="K13" s="378">
        <f t="shared" si="1"/>
        <v>0</v>
      </c>
      <c r="L13" s="382">
        <f t="shared" si="1"/>
        <v>0</v>
      </c>
      <c r="M13" s="389">
        <f t="shared" si="2"/>
        <v>17</v>
      </c>
    </row>
    <row r="14" spans="2:14" ht="13" x14ac:dyDescent="0.3">
      <c r="B14" s="210">
        <v>1.2</v>
      </c>
      <c r="C14" s="212" t="s">
        <v>175</v>
      </c>
      <c r="D14" s="377">
        <f>COUNT('FORM F1 SUB - STD BUS'!L17:L56)</f>
        <v>40</v>
      </c>
      <c r="E14" s="378"/>
      <c r="F14" s="379"/>
      <c r="G14" s="381">
        <f>COUNT('FORM F2 UNSUB - STD BUS '!F17:F21)</f>
        <v>5</v>
      </c>
      <c r="H14" s="378"/>
      <c r="I14" s="380"/>
      <c r="J14" s="381">
        <f>SUM(D14+G14)</f>
        <v>45</v>
      </c>
      <c r="K14" s="378">
        <f t="shared" si="1"/>
        <v>0</v>
      </c>
      <c r="L14" s="382">
        <f>SUM(F14+I14)</f>
        <v>0</v>
      </c>
      <c r="M14" s="383">
        <f t="shared" si="2"/>
        <v>45</v>
      </c>
      <c r="N14" s="213"/>
    </row>
    <row r="15" spans="2:14" ht="13" x14ac:dyDescent="0.3">
      <c r="B15" s="210">
        <v>1.3</v>
      </c>
      <c r="C15" s="212" t="s">
        <v>176</v>
      </c>
      <c r="D15" s="377">
        <v>0</v>
      </c>
      <c r="E15" s="378"/>
      <c r="F15" s="379"/>
      <c r="G15" s="381">
        <v>0</v>
      </c>
      <c r="H15" s="378"/>
      <c r="I15" s="380"/>
      <c r="J15" s="381">
        <f>SUM(D15+G15)</f>
        <v>0</v>
      </c>
      <c r="K15" s="378">
        <f>SUM(E15+H15)</f>
        <v>0</v>
      </c>
      <c r="L15" s="382">
        <f>SUM(F15+I15)</f>
        <v>0</v>
      </c>
      <c r="M15" s="383">
        <f t="shared" si="2"/>
        <v>0</v>
      </c>
      <c r="N15" s="213"/>
    </row>
    <row r="16" spans="2:14" x14ac:dyDescent="0.25">
      <c r="B16" s="210">
        <v>1.4</v>
      </c>
      <c r="C16" s="212" t="s">
        <v>177</v>
      </c>
      <c r="D16" s="390">
        <f>'FORM F1 SUB - STD BUS'!F58</f>
        <v>998</v>
      </c>
      <c r="E16" s="391"/>
      <c r="F16" s="172"/>
      <c r="G16" s="392">
        <f>'FORM F2 UNSUB - STD BUS '!F23</f>
        <v>164</v>
      </c>
      <c r="H16" s="391"/>
      <c r="I16" s="393"/>
      <c r="J16" s="394">
        <f t="shared" si="0"/>
        <v>1162</v>
      </c>
      <c r="K16" s="395">
        <f t="shared" si="1"/>
        <v>0</v>
      </c>
      <c r="L16" s="382">
        <f t="shared" si="1"/>
        <v>0</v>
      </c>
      <c r="M16" s="383">
        <f t="shared" si="2"/>
        <v>1162</v>
      </c>
    </row>
    <row r="17" spans="2:13" x14ac:dyDescent="0.25">
      <c r="B17" s="210">
        <v>1.5</v>
      </c>
      <c r="C17" s="212" t="s">
        <v>178</v>
      </c>
      <c r="D17" s="390">
        <f>'FORM F1 SUB - STD BUS'!K58</f>
        <v>996</v>
      </c>
      <c r="E17" s="391"/>
      <c r="F17" s="172"/>
      <c r="G17" s="392">
        <f>'FORM F2 UNSUB - STD BUS '!K23</f>
        <v>164</v>
      </c>
      <c r="H17" s="391"/>
      <c r="I17" s="393"/>
      <c r="J17" s="394">
        <f t="shared" si="0"/>
        <v>1160</v>
      </c>
      <c r="K17" s="395">
        <f t="shared" si="1"/>
        <v>0</v>
      </c>
      <c r="L17" s="382">
        <f t="shared" si="1"/>
        <v>0</v>
      </c>
      <c r="M17" s="383">
        <f t="shared" si="2"/>
        <v>1160</v>
      </c>
    </row>
    <row r="18" spans="2:13" x14ac:dyDescent="0.25">
      <c r="B18" s="210">
        <v>1.6</v>
      </c>
      <c r="C18" s="212" t="s">
        <v>179</v>
      </c>
      <c r="D18" s="396">
        <f>'FORM F1 SUB - STD BUS'!M58</f>
        <v>82763.400000000009</v>
      </c>
      <c r="E18" s="397"/>
      <c r="F18" s="173"/>
      <c r="G18" s="398">
        <f>'FORM F2 UNSUB - STD BUS '!M23</f>
        <v>16345.2</v>
      </c>
      <c r="H18" s="397"/>
      <c r="I18" s="399"/>
      <c r="J18" s="400">
        <f t="shared" si="0"/>
        <v>99108.6</v>
      </c>
      <c r="K18" s="401">
        <f t="shared" si="1"/>
        <v>0</v>
      </c>
      <c r="L18" s="402">
        <f t="shared" si="1"/>
        <v>0</v>
      </c>
      <c r="M18" s="403">
        <f t="shared" si="2"/>
        <v>99108.6</v>
      </c>
    </row>
    <row r="19" spans="2:13" x14ac:dyDescent="0.25">
      <c r="B19" s="210">
        <v>1.7</v>
      </c>
      <c r="C19" s="212" t="s">
        <v>180</v>
      </c>
      <c r="D19" s="396">
        <f>'FORM F1 SUB - STD BUS'!N58</f>
        <v>82529.400000000009</v>
      </c>
      <c r="E19" s="397"/>
      <c r="F19" s="173"/>
      <c r="G19" s="398">
        <f>'FORM F2 UNSUB - STD BUS '!N23</f>
        <v>16345.2</v>
      </c>
      <c r="H19" s="397"/>
      <c r="I19" s="399"/>
      <c r="J19" s="400">
        <f t="shared" si="0"/>
        <v>98874.6</v>
      </c>
      <c r="K19" s="401">
        <f t="shared" si="1"/>
        <v>0</v>
      </c>
      <c r="L19" s="402">
        <f t="shared" si="1"/>
        <v>0</v>
      </c>
      <c r="M19" s="403">
        <f t="shared" si="2"/>
        <v>98874.6</v>
      </c>
    </row>
    <row r="20" spans="2:13" x14ac:dyDescent="0.25">
      <c r="B20" s="210">
        <v>1.8</v>
      </c>
      <c r="C20" s="212" t="s">
        <v>181</v>
      </c>
      <c r="D20" s="404">
        <f>'FORM F1 SUB - STD BUS'!Z58</f>
        <v>234</v>
      </c>
      <c r="E20" s="401"/>
      <c r="F20" s="173"/>
      <c r="G20" s="398">
        <v>0</v>
      </c>
      <c r="H20" s="397"/>
      <c r="I20" s="399"/>
      <c r="J20" s="400">
        <f>D20</f>
        <v>234</v>
      </c>
      <c r="K20" s="401">
        <f>E20</f>
        <v>0</v>
      </c>
      <c r="L20" s="402">
        <f>F20</f>
        <v>0</v>
      </c>
      <c r="M20" s="403">
        <f t="shared" si="2"/>
        <v>234</v>
      </c>
    </row>
    <row r="21" spans="2:13" x14ac:dyDescent="0.25">
      <c r="B21" s="210">
        <v>1.9</v>
      </c>
      <c r="C21" s="212" t="s">
        <v>183</v>
      </c>
      <c r="D21" s="335">
        <f t="shared" ref="D21" si="3">SUM(D22:D23)</f>
        <v>58044</v>
      </c>
      <c r="E21" s="395"/>
      <c r="F21" s="335"/>
      <c r="G21" s="394">
        <f>SUM(G22:G23)</f>
        <v>6635</v>
      </c>
      <c r="H21" s="395"/>
      <c r="I21" s="393"/>
      <c r="J21" s="394">
        <f>SUM(D21+G21)</f>
        <v>64679</v>
      </c>
      <c r="K21" s="395">
        <f t="shared" ref="K21:L23" si="4">SUM(E21+H21)</f>
        <v>0</v>
      </c>
      <c r="L21" s="382">
        <f t="shared" si="4"/>
        <v>0</v>
      </c>
      <c r="M21" s="383">
        <f t="shared" si="2"/>
        <v>64679</v>
      </c>
    </row>
    <row r="22" spans="2:13" ht="13" x14ac:dyDescent="0.3">
      <c r="B22" s="210"/>
      <c r="C22" s="214" t="s">
        <v>184</v>
      </c>
      <c r="D22" s="405">
        <f>'FORM F1 SUB - STD BUS'!O58</f>
        <v>58044</v>
      </c>
      <c r="E22" s="406"/>
      <c r="F22" s="174"/>
      <c r="G22" s="407">
        <f>'FORM F2 UNSUB - STD BUS '!O23</f>
        <v>6635</v>
      </c>
      <c r="H22" s="406"/>
      <c r="I22" s="408"/>
      <c r="J22" s="394">
        <f>SUM(D22+G22)</f>
        <v>64679</v>
      </c>
      <c r="K22" s="395">
        <f t="shared" si="4"/>
        <v>0</v>
      </c>
      <c r="L22" s="382">
        <f t="shared" si="4"/>
        <v>0</v>
      </c>
      <c r="M22" s="383">
        <f t="shared" si="2"/>
        <v>64679</v>
      </c>
    </row>
    <row r="23" spans="2:13" ht="13.5" thickBot="1" x14ac:dyDescent="0.35">
      <c r="B23" s="215"/>
      <c r="C23" s="216" t="s">
        <v>185</v>
      </c>
      <c r="D23" s="409">
        <f>'FORM F1 SUB - STD BUS'!P58</f>
        <v>0</v>
      </c>
      <c r="E23" s="410"/>
      <c r="F23" s="175"/>
      <c r="G23" s="411">
        <f>'FORM F2 UNSUB - STD BUS '!P23</f>
        <v>0</v>
      </c>
      <c r="H23" s="410"/>
      <c r="I23" s="412"/>
      <c r="J23" s="413">
        <f>SUM(D23+G23)</f>
        <v>0</v>
      </c>
      <c r="K23" s="414">
        <f t="shared" si="4"/>
        <v>0</v>
      </c>
      <c r="L23" s="415">
        <f t="shared" si="4"/>
        <v>0</v>
      </c>
      <c r="M23" s="416">
        <f t="shared" si="2"/>
        <v>0</v>
      </c>
    </row>
    <row r="24" spans="2:13" ht="13" x14ac:dyDescent="0.3">
      <c r="B24" s="217"/>
      <c r="C24" s="218"/>
      <c r="D24" s="219"/>
      <c r="E24" s="220"/>
      <c r="F24" s="221"/>
      <c r="G24" s="222"/>
      <c r="H24" s="221"/>
      <c r="I24" s="223"/>
      <c r="J24" s="181"/>
      <c r="K24" s="182"/>
      <c r="L24" s="183"/>
      <c r="M24" s="184"/>
    </row>
    <row r="25" spans="2:13" ht="13" x14ac:dyDescent="0.3">
      <c r="B25" s="217"/>
      <c r="C25" s="218"/>
      <c r="D25" s="367"/>
      <c r="E25" s="224"/>
      <c r="F25" s="225"/>
      <c r="G25" s="222"/>
      <c r="H25" s="334"/>
      <c r="I25" s="226"/>
      <c r="J25" s="185"/>
      <c r="K25" s="186"/>
      <c r="L25" s="171"/>
      <c r="M25" s="187"/>
    </row>
    <row r="26" spans="2:13" ht="13.5" thickBot="1" x14ac:dyDescent="0.35">
      <c r="B26" s="227">
        <v>2</v>
      </c>
      <c r="C26" s="228" t="s">
        <v>186</v>
      </c>
      <c r="D26" s="367"/>
      <c r="E26" s="224"/>
      <c r="F26" s="229"/>
      <c r="G26" s="222"/>
      <c r="H26" s="230"/>
      <c r="I26" s="231"/>
      <c r="J26" s="188"/>
      <c r="K26" s="186"/>
      <c r="L26" s="171"/>
      <c r="M26" s="187"/>
    </row>
    <row r="27" spans="2:13" x14ac:dyDescent="0.25">
      <c r="B27" s="232">
        <v>2.1</v>
      </c>
      <c r="C27" s="206" t="s">
        <v>187</v>
      </c>
      <c r="D27" s="233">
        <f t="shared" ref="D27:I27" si="5">SUM(D28:D29)</f>
        <v>1023296</v>
      </c>
      <c r="E27" s="234"/>
      <c r="F27" s="233">
        <f t="shared" si="5"/>
        <v>0</v>
      </c>
      <c r="G27" s="236">
        <f>G28+G29</f>
        <v>92290.5</v>
      </c>
      <c r="H27" s="234"/>
      <c r="I27" s="235">
        <f t="shared" si="5"/>
        <v>0</v>
      </c>
      <c r="J27" s="236">
        <f t="shared" ref="J27:L29" si="6">SUM(D27+G27)</f>
        <v>1115586.5</v>
      </c>
      <c r="K27" s="237">
        <f t="shared" si="6"/>
        <v>0</v>
      </c>
      <c r="L27" s="238">
        <f t="shared" si="6"/>
        <v>0</v>
      </c>
      <c r="M27" s="239">
        <f>SUM(J27:L27)</f>
        <v>1115586.5</v>
      </c>
    </row>
    <row r="28" spans="2:13" ht="13" x14ac:dyDescent="0.3">
      <c r="B28" s="210"/>
      <c r="C28" s="240" t="s">
        <v>188</v>
      </c>
      <c r="D28" s="417">
        <f>'FORM F1 SUB - STD BUS'!S58</f>
        <v>1023296</v>
      </c>
      <c r="E28" s="418"/>
      <c r="F28" s="176"/>
      <c r="G28" s="419">
        <f>'FORM F2 UNSUB - STD BUS '!S23</f>
        <v>92290.5</v>
      </c>
      <c r="H28" s="420"/>
      <c r="I28" s="176">
        <v>0</v>
      </c>
      <c r="J28" s="421">
        <f t="shared" si="6"/>
        <v>1115586.5</v>
      </c>
      <c r="K28" s="418">
        <f t="shared" si="6"/>
        <v>0</v>
      </c>
      <c r="L28" s="180">
        <f t="shared" si="6"/>
        <v>0</v>
      </c>
      <c r="M28" s="422">
        <f t="shared" ref="M28:M33" si="7">SUM(J28:L28)</f>
        <v>1115586.5</v>
      </c>
    </row>
    <row r="29" spans="2:13" ht="13" x14ac:dyDescent="0.3">
      <c r="B29" s="210"/>
      <c r="C29" s="240" t="s">
        <v>189</v>
      </c>
      <c r="D29" s="423">
        <f>'FORM F1 SUB - STD BUS'!T58</f>
        <v>0</v>
      </c>
      <c r="E29" s="420"/>
      <c r="F29" s="180"/>
      <c r="G29" s="419">
        <f>'FORM F2 UNSUB - STD BUS '!T23</f>
        <v>0</v>
      </c>
      <c r="H29" s="420"/>
      <c r="I29" s="176">
        <v>0</v>
      </c>
      <c r="J29" s="421">
        <f t="shared" si="6"/>
        <v>0</v>
      </c>
      <c r="K29" s="418">
        <f t="shared" si="6"/>
        <v>0</v>
      </c>
      <c r="L29" s="180">
        <f t="shared" si="6"/>
        <v>0</v>
      </c>
      <c r="M29" s="422">
        <f t="shared" si="7"/>
        <v>0</v>
      </c>
    </row>
    <row r="30" spans="2:13" x14ac:dyDescent="0.25">
      <c r="B30" s="210">
        <v>2.2000000000000002</v>
      </c>
      <c r="C30" s="212" t="s">
        <v>190</v>
      </c>
      <c r="D30" s="241" t="s">
        <v>182</v>
      </c>
      <c r="E30" s="242"/>
      <c r="F30" s="241" t="s">
        <v>182</v>
      </c>
      <c r="G30" s="241"/>
      <c r="H30" s="242"/>
      <c r="I30" s="243">
        <v>0</v>
      </c>
      <c r="J30" s="244">
        <f t="shared" ref="J30:L31" si="8">G30</f>
        <v>0</v>
      </c>
      <c r="K30" s="242">
        <f t="shared" si="8"/>
        <v>0</v>
      </c>
      <c r="L30" s="424">
        <f t="shared" si="8"/>
        <v>0</v>
      </c>
      <c r="M30" s="425">
        <f t="shared" si="7"/>
        <v>0</v>
      </c>
    </row>
    <row r="31" spans="2:13" x14ac:dyDescent="0.25">
      <c r="B31" s="210">
        <v>2.2999999999999998</v>
      </c>
      <c r="C31" s="212" t="s">
        <v>191</v>
      </c>
      <c r="D31" s="241" t="s">
        <v>182</v>
      </c>
      <c r="E31" s="242"/>
      <c r="F31" s="241" t="s">
        <v>182</v>
      </c>
      <c r="G31" s="241"/>
      <c r="H31" s="242"/>
      <c r="I31" s="243">
        <v>0</v>
      </c>
      <c r="J31" s="244">
        <f t="shared" si="8"/>
        <v>0</v>
      </c>
      <c r="K31" s="242">
        <f t="shared" si="8"/>
        <v>0</v>
      </c>
      <c r="L31" s="424">
        <f t="shared" si="8"/>
        <v>0</v>
      </c>
      <c r="M31" s="425">
        <f t="shared" si="7"/>
        <v>0</v>
      </c>
    </row>
    <row r="32" spans="2:13" x14ac:dyDescent="0.25">
      <c r="B32" s="210">
        <v>2.4</v>
      </c>
      <c r="C32" s="212" t="s">
        <v>192</v>
      </c>
      <c r="D32" s="241">
        <f>'FORM A'!H15</f>
        <v>3308834.9599999189</v>
      </c>
      <c r="E32" s="242"/>
      <c r="F32" s="243"/>
      <c r="G32" s="241"/>
      <c r="H32" s="242"/>
      <c r="I32" s="243" t="s">
        <v>182</v>
      </c>
      <c r="J32" s="244">
        <f>D32</f>
        <v>3308834.9599999189</v>
      </c>
      <c r="K32" s="242">
        <f>E32</f>
        <v>0</v>
      </c>
      <c r="L32" s="424">
        <f>F32</f>
        <v>0</v>
      </c>
      <c r="M32" s="425">
        <f t="shared" si="7"/>
        <v>3308834.9599999189</v>
      </c>
    </row>
    <row r="33" spans="2:15" ht="13" thickBot="1" x14ac:dyDescent="0.3">
      <c r="B33" s="215">
        <v>2.5</v>
      </c>
      <c r="C33" s="245" t="s">
        <v>193</v>
      </c>
      <c r="D33" s="246">
        <f t="shared" ref="D33:L33" si="9">SUM(D28:D32)</f>
        <v>4332130.9599999189</v>
      </c>
      <c r="E33" s="247"/>
      <c r="F33" s="249"/>
      <c r="G33" s="241"/>
      <c r="H33" s="247"/>
      <c r="I33" s="249">
        <f t="shared" si="9"/>
        <v>0</v>
      </c>
      <c r="J33" s="248">
        <f t="shared" si="9"/>
        <v>4424421.4599999189</v>
      </c>
      <c r="K33" s="426">
        <f t="shared" si="9"/>
        <v>0</v>
      </c>
      <c r="L33" s="427">
        <f t="shared" si="9"/>
        <v>0</v>
      </c>
      <c r="M33" s="428">
        <f t="shared" si="7"/>
        <v>4424421.4599999189</v>
      </c>
    </row>
    <row r="34" spans="2:15" x14ac:dyDescent="0.25">
      <c r="B34" s="250"/>
      <c r="D34" s="156"/>
      <c r="E34" s="156"/>
      <c r="F34" s="156"/>
      <c r="G34" s="251"/>
      <c r="H34" s="156"/>
      <c r="I34" s="252"/>
      <c r="J34" s="156"/>
    </row>
    <row r="35" spans="2:15" ht="13.5" thickBot="1" x14ac:dyDescent="0.35">
      <c r="B35" s="250"/>
      <c r="C35" s="253"/>
      <c r="D35" s="156"/>
      <c r="E35" s="156"/>
      <c r="F35" s="156"/>
      <c r="G35" s="254"/>
      <c r="H35" s="254"/>
      <c r="I35" s="255"/>
      <c r="J35" s="156"/>
    </row>
    <row r="36" spans="2:15" ht="39" x14ac:dyDescent="0.3">
      <c r="B36" s="256">
        <v>3</v>
      </c>
      <c r="C36" s="257" t="s">
        <v>194</v>
      </c>
      <c r="D36" s="258" t="s">
        <v>148</v>
      </c>
      <c r="E36" s="259" t="s">
        <v>195</v>
      </c>
      <c r="F36" s="260" t="s">
        <v>196</v>
      </c>
      <c r="G36" s="261" t="s">
        <v>197</v>
      </c>
      <c r="H36" s="262" t="s">
        <v>198</v>
      </c>
      <c r="I36" s="169"/>
      <c r="J36" s="263"/>
    </row>
    <row r="37" spans="2:15" x14ac:dyDescent="0.25">
      <c r="B37" s="210">
        <v>3.1</v>
      </c>
      <c r="C37" s="170" t="s">
        <v>199</v>
      </c>
      <c r="D37" s="264">
        <f>'FORM G2'!E35</f>
        <v>9</v>
      </c>
      <c r="E37" s="265">
        <v>0</v>
      </c>
      <c r="F37" s="243">
        <f>'FORM G2'!I35</f>
        <v>1889.34</v>
      </c>
      <c r="G37" s="429" t="e">
        <f>'FORM C'!#REF!</f>
        <v>#REF!</v>
      </c>
      <c r="H37" s="266" t="e">
        <f>F37*G37</f>
        <v>#REF!</v>
      </c>
      <c r="I37" s="157"/>
      <c r="J37" s="156"/>
    </row>
    <row r="38" spans="2:15" x14ac:dyDescent="0.25">
      <c r="B38" s="210">
        <v>3.2</v>
      </c>
      <c r="C38" s="212" t="s">
        <v>200</v>
      </c>
      <c r="D38" s="267">
        <f>SUM('FORM G2'!E16:E18)</f>
        <v>9</v>
      </c>
      <c r="E38" s="265">
        <v>0</v>
      </c>
      <c r="F38" s="243">
        <f>SUM('FORM G2'!I16:I18)</f>
        <v>1889.34</v>
      </c>
      <c r="G38" s="429" t="e">
        <f>G37</f>
        <v>#REF!</v>
      </c>
      <c r="H38" s="266" t="e">
        <f t="shared" ref="H38:H43" si="10">F38*G38</f>
        <v>#REF!</v>
      </c>
      <c r="I38" s="192" t="s">
        <v>61</v>
      </c>
      <c r="J38" s="156"/>
    </row>
    <row r="39" spans="2:15" x14ac:dyDescent="0.25">
      <c r="B39" s="210">
        <v>3.3</v>
      </c>
      <c r="C39" s="212" t="s">
        <v>201</v>
      </c>
      <c r="D39" s="267">
        <f>SUM('FORM G2'!E19:E21)</f>
        <v>0</v>
      </c>
      <c r="E39" s="265">
        <v>0</v>
      </c>
      <c r="F39" s="243">
        <f>SUM('FORM G2'!I19:I21)</f>
        <v>0</v>
      </c>
      <c r="G39" s="429" t="e">
        <f>G37</f>
        <v>#REF!</v>
      </c>
      <c r="H39" s="266" t="e">
        <f t="shared" si="10"/>
        <v>#REF!</v>
      </c>
      <c r="I39" s="157"/>
      <c r="J39" s="156"/>
    </row>
    <row r="40" spans="2:15" x14ac:dyDescent="0.25">
      <c r="B40" s="210">
        <v>3.4</v>
      </c>
      <c r="C40" s="212" t="s">
        <v>202</v>
      </c>
      <c r="D40" s="267">
        <f>SUM('FORM G2'!E25:E28)</f>
        <v>0</v>
      </c>
      <c r="E40" s="265">
        <v>0</v>
      </c>
      <c r="F40" s="243">
        <f>SUM('FORM G2'!I25:I28)</f>
        <v>0</v>
      </c>
      <c r="G40" s="429" t="e">
        <f>G37</f>
        <v>#REF!</v>
      </c>
      <c r="H40" s="266" t="e">
        <f t="shared" si="10"/>
        <v>#REF!</v>
      </c>
      <c r="I40" s="157"/>
      <c r="J40" s="156"/>
    </row>
    <row r="41" spans="2:15" ht="13" x14ac:dyDescent="0.3">
      <c r="B41" s="210">
        <v>3.5</v>
      </c>
      <c r="C41" s="212" t="s">
        <v>203</v>
      </c>
      <c r="D41" s="267">
        <f>'FORM G2'!E24</f>
        <v>0</v>
      </c>
      <c r="E41" s="265">
        <v>0</v>
      </c>
      <c r="F41" s="243">
        <f>'FORM G2'!I24</f>
        <v>0</v>
      </c>
      <c r="G41" s="429" t="e">
        <f>G37</f>
        <v>#REF!</v>
      </c>
      <c r="H41" s="266" t="e">
        <f t="shared" si="10"/>
        <v>#REF!</v>
      </c>
      <c r="I41" s="157"/>
      <c r="J41" s="156"/>
      <c r="K41" s="213"/>
      <c r="O41" s="213"/>
    </row>
    <row r="42" spans="2:15" x14ac:dyDescent="0.25">
      <c r="B42" s="210">
        <v>3.6</v>
      </c>
      <c r="C42" s="212" t="s">
        <v>204</v>
      </c>
      <c r="D42" s="267">
        <f>'FORM G2'!E29+'FORM G2'!E31</f>
        <v>0</v>
      </c>
      <c r="E42" s="265">
        <v>0</v>
      </c>
      <c r="F42" s="243">
        <f>'FORM G2'!I29+'FORM G2'!I31</f>
        <v>0</v>
      </c>
      <c r="G42" s="429" t="e">
        <f>G37</f>
        <v>#REF!</v>
      </c>
      <c r="H42" s="266" t="e">
        <f t="shared" si="10"/>
        <v>#REF!</v>
      </c>
      <c r="I42" s="157"/>
      <c r="J42" s="156"/>
    </row>
    <row r="43" spans="2:15" ht="13" thickBot="1" x14ac:dyDescent="0.3">
      <c r="B43" s="215">
        <v>3.7</v>
      </c>
      <c r="C43" s="245" t="s">
        <v>205</v>
      </c>
      <c r="D43" s="268">
        <f>'FORM G2'!E23</f>
        <v>0</v>
      </c>
      <c r="E43" s="269">
        <v>0</v>
      </c>
      <c r="F43" s="249">
        <f>'FORM G2'!I23</f>
        <v>0</v>
      </c>
      <c r="G43" s="429" t="e">
        <f>G37</f>
        <v>#REF!</v>
      </c>
      <c r="H43" s="270" t="e">
        <f t="shared" si="10"/>
        <v>#REF!</v>
      </c>
      <c r="I43" s="157"/>
      <c r="J43" s="156"/>
    </row>
    <row r="44" spans="2:15" ht="13" x14ac:dyDescent="0.3">
      <c r="B44" s="271" t="s">
        <v>206</v>
      </c>
      <c r="D44" s="254"/>
      <c r="E44" s="272"/>
      <c r="F44" s="156"/>
      <c r="G44" s="273"/>
      <c r="H44" s="274"/>
      <c r="I44" s="157"/>
      <c r="J44" s="156"/>
    </row>
    <row r="45" spans="2:15" x14ac:dyDescent="0.25">
      <c r="B45" s="250"/>
      <c r="D45" s="254"/>
      <c r="E45" s="254"/>
      <c r="F45" s="275"/>
      <c r="G45" s="156"/>
      <c r="H45" s="276"/>
      <c r="I45" s="157"/>
      <c r="J45" s="156"/>
    </row>
    <row r="46" spans="2:15" ht="13.5" thickBot="1" x14ac:dyDescent="0.35">
      <c r="B46" s="277"/>
      <c r="C46" s="278"/>
      <c r="D46" s="254"/>
      <c r="E46" s="272"/>
      <c r="F46" s="279"/>
      <c r="G46" s="280"/>
      <c r="H46" s="281"/>
      <c r="I46" s="157"/>
      <c r="J46" s="156"/>
    </row>
    <row r="47" spans="2:15" ht="27" thickTop="1" thickBot="1" x14ac:dyDescent="0.3">
      <c r="B47" s="282">
        <v>4</v>
      </c>
      <c r="C47" s="283" t="s">
        <v>207</v>
      </c>
      <c r="D47" s="284" t="s">
        <v>208</v>
      </c>
      <c r="E47" s="284" t="s">
        <v>209</v>
      </c>
      <c r="F47" s="285" t="s">
        <v>210</v>
      </c>
      <c r="G47" s="272"/>
      <c r="H47" s="272"/>
      <c r="I47" s="272"/>
      <c r="J47" s="156"/>
    </row>
    <row r="48" spans="2:15" ht="13" thickTop="1" x14ac:dyDescent="0.25">
      <c r="B48" s="217">
        <v>4.0999999999999996</v>
      </c>
      <c r="C48" s="171" t="s">
        <v>211</v>
      </c>
      <c r="D48" s="286">
        <f>+D12+E12+F12</f>
        <v>21</v>
      </c>
      <c r="E48" s="286">
        <f>D11+E11+F11</f>
        <v>38</v>
      </c>
      <c r="F48" s="287">
        <f>(E48-D48)/D48</f>
        <v>0.80952380952380953</v>
      </c>
      <c r="G48" s="272"/>
      <c r="H48" s="272"/>
      <c r="I48" s="272"/>
      <c r="J48" s="156"/>
    </row>
    <row r="49" spans="2:10" x14ac:dyDescent="0.25">
      <c r="B49" s="288">
        <v>4.2</v>
      </c>
      <c r="C49" s="289" t="s">
        <v>212</v>
      </c>
      <c r="D49" s="774"/>
      <c r="E49" s="774"/>
      <c r="F49" s="290" t="e">
        <f t="shared" ref="F49:F59" si="11">(E49-D49)/D49</f>
        <v>#DIV/0!</v>
      </c>
      <c r="G49" s="156"/>
      <c r="H49" s="156"/>
      <c r="I49" s="156"/>
      <c r="J49" s="254"/>
    </row>
    <row r="50" spans="2:10" x14ac:dyDescent="0.25">
      <c r="B50" s="288">
        <v>4.3</v>
      </c>
      <c r="C50" s="289" t="s">
        <v>213</v>
      </c>
      <c r="D50" s="291">
        <f>SUM(D15:F15)/SUM(D12:F12)</f>
        <v>0</v>
      </c>
      <c r="E50" s="291">
        <f>SUM(D15:F15)/E48</f>
        <v>0</v>
      </c>
      <c r="F50" s="290" t="e">
        <f t="shared" si="11"/>
        <v>#DIV/0!</v>
      </c>
      <c r="G50" s="156"/>
      <c r="H50" s="156"/>
      <c r="I50" s="156"/>
      <c r="J50" s="254"/>
    </row>
    <row r="51" spans="2:10" x14ac:dyDescent="0.25">
      <c r="B51" s="288">
        <v>4.4000000000000004</v>
      </c>
      <c r="C51" s="289" t="s">
        <v>214</v>
      </c>
      <c r="D51" s="291">
        <f>SUM(D19:F19)/SUM(D12:F12)</f>
        <v>3929.971428571429</v>
      </c>
      <c r="E51" s="291">
        <f>D51</f>
        <v>3929.971428571429</v>
      </c>
      <c r="F51" s="290">
        <f t="shared" si="11"/>
        <v>0</v>
      </c>
      <c r="G51" s="156"/>
      <c r="H51" s="156"/>
      <c r="I51" s="156"/>
      <c r="J51" s="254"/>
    </row>
    <row r="52" spans="2:10" x14ac:dyDescent="0.25">
      <c r="B52" s="288">
        <v>4.5</v>
      </c>
      <c r="C52" s="289" t="s">
        <v>215</v>
      </c>
      <c r="D52" s="292">
        <f>SUM(D32:F32)/SUM(D11:F11)</f>
        <v>87074.60421052418</v>
      </c>
      <c r="E52" s="292">
        <f>D52</f>
        <v>87074.60421052418</v>
      </c>
      <c r="F52" s="290">
        <f t="shared" si="11"/>
        <v>0</v>
      </c>
      <c r="G52" s="156"/>
      <c r="H52" s="156"/>
      <c r="I52" s="156"/>
      <c r="J52" s="254"/>
    </row>
    <row r="53" spans="2:10" x14ac:dyDescent="0.25">
      <c r="B53" s="288">
        <v>4.5999999999999996</v>
      </c>
      <c r="C53" s="289" t="s">
        <v>216</v>
      </c>
      <c r="D53" s="526">
        <f>SUM(D32:F32)/SUM(D21:F21)</f>
        <v>57.005632968091774</v>
      </c>
      <c r="E53" s="292">
        <f>D53</f>
        <v>57.005632968091774</v>
      </c>
      <c r="F53" s="290">
        <f t="shared" si="11"/>
        <v>0</v>
      </c>
      <c r="G53" s="156"/>
      <c r="H53" s="156"/>
      <c r="I53" s="156"/>
      <c r="J53" s="254"/>
    </row>
    <row r="54" spans="2:10" x14ac:dyDescent="0.25">
      <c r="B54" s="288">
        <v>4.7</v>
      </c>
      <c r="C54" s="289" t="s">
        <v>217</v>
      </c>
      <c r="D54" s="292">
        <f>SUM(D32:F32)/SUM(D19:F19)</f>
        <v>40.092802807241036</v>
      </c>
      <c r="E54" s="292">
        <f t="shared" ref="E54:E59" si="12">D54</f>
        <v>40.092802807241036</v>
      </c>
      <c r="F54" s="290">
        <f t="shared" si="11"/>
        <v>0</v>
      </c>
      <c r="G54" s="156"/>
      <c r="H54" s="156"/>
      <c r="I54" s="156"/>
      <c r="J54" s="254"/>
    </row>
    <row r="55" spans="2:10" x14ac:dyDescent="0.25">
      <c r="B55" s="288">
        <v>4.8</v>
      </c>
      <c r="C55" s="212" t="s">
        <v>218</v>
      </c>
      <c r="D55" s="291">
        <f>SUM(D19:F19)/SUM(D12:F12)</f>
        <v>3929.971428571429</v>
      </c>
      <c r="E55" s="292">
        <f t="shared" si="12"/>
        <v>3929.971428571429</v>
      </c>
      <c r="F55" s="290">
        <f t="shared" si="11"/>
        <v>0</v>
      </c>
      <c r="G55" s="156"/>
      <c r="H55" s="156"/>
      <c r="I55" s="156"/>
      <c r="J55" s="254"/>
    </row>
    <row r="56" spans="2:10" x14ac:dyDescent="0.25">
      <c r="B56" s="288">
        <v>4.9000000000000004</v>
      </c>
      <c r="C56" s="212" t="s">
        <v>219</v>
      </c>
      <c r="D56" s="293">
        <f>SUM(D21:F21)/SUM(D12:F12)</f>
        <v>2764</v>
      </c>
      <c r="E56" s="292">
        <f t="shared" si="12"/>
        <v>2764</v>
      </c>
      <c r="F56" s="290">
        <f t="shared" si="11"/>
        <v>0</v>
      </c>
      <c r="G56" s="156"/>
      <c r="H56" s="156"/>
      <c r="I56" s="156"/>
      <c r="J56" s="254"/>
    </row>
    <row r="57" spans="2:10" x14ac:dyDescent="0.25">
      <c r="B57" s="294">
        <v>4.0999999999999996</v>
      </c>
      <c r="C57" s="289" t="s">
        <v>220</v>
      </c>
      <c r="D57" s="293">
        <f>SUM(D21:F21)/SUM(D17:F17)</f>
        <v>58.277108433734938</v>
      </c>
      <c r="E57" s="292">
        <f t="shared" si="12"/>
        <v>58.277108433734938</v>
      </c>
      <c r="F57" s="290">
        <f t="shared" si="11"/>
        <v>0</v>
      </c>
      <c r="G57" s="156"/>
      <c r="H57" s="156"/>
      <c r="I57" s="156"/>
      <c r="J57" s="254"/>
    </row>
    <row r="58" spans="2:10" x14ac:dyDescent="0.25">
      <c r="B58" s="294">
        <v>4.1100000000000003</v>
      </c>
      <c r="C58" s="212" t="s">
        <v>221</v>
      </c>
      <c r="D58" s="292">
        <f>SUM(D27:F27)/SUM(D11:F11)</f>
        <v>26928.842105263157</v>
      </c>
      <c r="E58" s="292">
        <f t="shared" si="12"/>
        <v>26928.842105263157</v>
      </c>
      <c r="F58" s="290">
        <f t="shared" si="11"/>
        <v>0</v>
      </c>
      <c r="G58" s="156"/>
      <c r="H58" s="156"/>
      <c r="I58" s="156"/>
      <c r="J58" s="254"/>
    </row>
    <row r="59" spans="2:10" x14ac:dyDescent="0.25">
      <c r="B59" s="294">
        <v>4.12</v>
      </c>
      <c r="C59" s="212" t="s">
        <v>222</v>
      </c>
      <c r="D59" s="292">
        <f>SUM(D27:F27)/SUM(D17:F17)</f>
        <v>1027.4056224899598</v>
      </c>
      <c r="E59" s="292">
        <f t="shared" si="12"/>
        <v>1027.4056224899598</v>
      </c>
      <c r="F59" s="290">
        <f t="shared" si="11"/>
        <v>0</v>
      </c>
      <c r="G59" s="156"/>
      <c r="H59" s="156"/>
      <c r="I59" s="156"/>
      <c r="J59" s="254"/>
    </row>
    <row r="60" spans="2:10" ht="13.5" thickBot="1" x14ac:dyDescent="0.35">
      <c r="B60" s="295"/>
      <c r="C60" s="296"/>
      <c r="D60" s="297"/>
      <c r="E60" s="297"/>
      <c r="F60" s="298"/>
      <c r="G60" s="254"/>
      <c r="H60" s="254"/>
      <c r="I60" s="254"/>
      <c r="J60" s="254"/>
    </row>
  </sheetData>
  <mergeCells count="3">
    <mergeCell ref="D8:F8"/>
    <mergeCell ref="G8:I8"/>
    <mergeCell ref="J8:L8"/>
  </mergeCells>
  <phoneticPr fontId="5" type="noConversion"/>
  <pageMargins left="0.75" right="0.75" top="1" bottom="1" header="0.5" footer="0.5"/>
  <pageSetup paperSize="9" scale="56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K79"/>
  <sheetViews>
    <sheetView view="pageBreakPreview" topLeftCell="A22" zoomScale="70" zoomScaleNormal="125" zoomScaleSheetLayoutView="70" workbookViewId="0">
      <selection activeCell="E32" sqref="E32"/>
    </sheetView>
  </sheetViews>
  <sheetFormatPr defaultColWidth="8.81640625" defaultRowHeight="12.5" x14ac:dyDescent="0.25"/>
  <cols>
    <col min="1" max="1" width="17.54296875" customWidth="1"/>
    <col min="2" max="2" width="19.26953125" customWidth="1"/>
    <col min="3" max="3" width="9.453125" bestFit="1" customWidth="1"/>
    <col min="4" max="4" width="10.453125" customWidth="1"/>
    <col min="5" max="5" width="17" customWidth="1"/>
    <col min="6" max="6" width="14.453125" customWidth="1"/>
    <col min="7" max="7" width="14" customWidth="1"/>
    <col min="8" max="8" width="20.1796875" customWidth="1"/>
    <col min="9" max="9" width="3.81640625" hidden="1" customWidth="1"/>
    <col min="10" max="10" width="15.81640625" customWidth="1"/>
    <col min="11" max="11" width="13.7265625" bestFit="1" customWidth="1"/>
  </cols>
  <sheetData>
    <row r="1" spans="1:10" ht="13" x14ac:dyDescent="0.3">
      <c r="A1" s="871" t="s">
        <v>1</v>
      </c>
      <c r="B1" s="871"/>
      <c r="C1" s="871"/>
      <c r="D1" s="871"/>
      <c r="E1" s="871"/>
      <c r="F1" s="871"/>
      <c r="G1" s="871"/>
      <c r="H1" s="871"/>
    </row>
    <row r="3" spans="1:10" ht="13" x14ac:dyDescent="0.3">
      <c r="A3" s="50" t="s">
        <v>0</v>
      </c>
      <c r="B3" s="50"/>
      <c r="C3" s="872" t="s">
        <v>350</v>
      </c>
      <c r="D3" s="872"/>
      <c r="E3" s="872"/>
      <c r="F3" s="872"/>
      <c r="G3" s="872"/>
      <c r="H3" s="872"/>
    </row>
    <row r="4" spans="1:10" ht="13" x14ac:dyDescent="0.3">
      <c r="A4" s="50"/>
      <c r="B4" s="50"/>
      <c r="C4" s="872"/>
      <c r="D4" s="872"/>
      <c r="E4" s="872"/>
      <c r="F4" s="872"/>
      <c r="G4" s="872"/>
      <c r="H4" s="872"/>
    </row>
    <row r="5" spans="1:10" x14ac:dyDescent="0.25">
      <c r="A5" s="8"/>
      <c r="B5" s="8"/>
      <c r="C5" s="8"/>
      <c r="D5" s="8"/>
      <c r="E5" s="8"/>
      <c r="F5" s="8"/>
      <c r="G5" s="8"/>
      <c r="H5" s="8"/>
    </row>
    <row r="6" spans="1:10" ht="13" x14ac:dyDescent="0.3">
      <c r="A6" s="50" t="s">
        <v>348</v>
      </c>
      <c r="B6" s="6"/>
      <c r="C6" s="8"/>
      <c r="D6" s="8"/>
      <c r="E6" s="50" t="s">
        <v>2</v>
      </c>
      <c r="F6" s="519" t="s">
        <v>349</v>
      </c>
      <c r="G6" s="8"/>
      <c r="H6" s="8"/>
    </row>
    <row r="7" spans="1:10" x14ac:dyDescent="0.25">
      <c r="A7" s="8"/>
      <c r="B7" s="8"/>
      <c r="C7" s="21"/>
      <c r="D7" s="8"/>
      <c r="E7" s="126"/>
      <c r="F7" s="8"/>
      <c r="G7" s="8"/>
      <c r="H7" s="8"/>
    </row>
    <row r="8" spans="1:10" ht="13" x14ac:dyDescent="0.3">
      <c r="A8" s="50" t="s">
        <v>3</v>
      </c>
      <c r="B8" s="8"/>
      <c r="C8" s="9">
        <v>320</v>
      </c>
      <c r="D8" s="8"/>
      <c r="E8" s="50" t="s">
        <v>4</v>
      </c>
      <c r="F8" s="834">
        <v>45778</v>
      </c>
      <c r="G8" s="8"/>
      <c r="H8" s="8"/>
    </row>
    <row r="9" spans="1:10" x14ac:dyDescent="0.25">
      <c r="A9" s="8"/>
      <c r="B9" s="8"/>
      <c r="C9" s="21"/>
      <c r="D9" s="8"/>
      <c r="E9" s="8"/>
      <c r="F9" s="8"/>
      <c r="G9" s="8"/>
      <c r="H9" s="8"/>
    </row>
    <row r="10" spans="1:10" x14ac:dyDescent="0.25">
      <c r="A10" s="8"/>
      <c r="B10" s="8"/>
      <c r="C10" s="8"/>
      <c r="D10" s="8"/>
      <c r="E10" s="8"/>
      <c r="F10" s="8"/>
      <c r="G10" s="8"/>
      <c r="H10" s="8"/>
    </row>
    <row r="11" spans="1:10" x14ac:dyDescent="0.25">
      <c r="A11" s="8" t="s">
        <v>103</v>
      </c>
      <c r="B11" s="8"/>
      <c r="C11" s="8"/>
      <c r="D11" s="8"/>
      <c r="E11" s="8" t="s">
        <v>104</v>
      </c>
      <c r="F11" s="8"/>
      <c r="H11" s="8">
        <f>+'FORM C'!G337</f>
        <v>625678195.33999979</v>
      </c>
      <c r="I11" s="6"/>
      <c r="J11" s="6"/>
    </row>
    <row r="12" spans="1:10" x14ac:dyDescent="0.25">
      <c r="A12" s="8"/>
      <c r="B12" s="8"/>
      <c r="C12" s="8"/>
      <c r="D12" s="8"/>
      <c r="E12" s="8"/>
      <c r="F12" s="8"/>
      <c r="H12" s="8"/>
    </row>
    <row r="13" spans="1:10" x14ac:dyDescent="0.25">
      <c r="A13" s="8" t="s">
        <v>164</v>
      </c>
      <c r="B13" s="8"/>
      <c r="C13" s="8"/>
      <c r="D13" s="8"/>
      <c r="E13" s="8" t="s">
        <v>163</v>
      </c>
      <c r="F13" s="8"/>
      <c r="H13" s="11">
        <f>'FORM B'!E339</f>
        <v>622369360.37999988</v>
      </c>
      <c r="I13" s="8"/>
      <c r="J13" s="6"/>
    </row>
    <row r="14" spans="1:10" x14ac:dyDescent="0.25">
      <c r="A14" s="8"/>
      <c r="B14" s="8"/>
      <c r="C14" s="8"/>
      <c r="D14" s="8"/>
      <c r="E14" s="8"/>
      <c r="F14" s="8"/>
      <c r="H14" s="8"/>
    </row>
    <row r="15" spans="1:10" x14ac:dyDescent="0.25">
      <c r="A15" s="8"/>
      <c r="C15" s="8"/>
      <c r="E15" s="8" t="s">
        <v>100</v>
      </c>
      <c r="F15" s="8"/>
      <c r="H15" s="11">
        <f>SUM(H11-H13)</f>
        <v>3308834.9599999189</v>
      </c>
      <c r="I15" s="8"/>
      <c r="J15" s="8"/>
    </row>
    <row r="16" spans="1:10" x14ac:dyDescent="0.25">
      <c r="A16" s="8"/>
      <c r="C16" s="8"/>
      <c r="E16" s="8"/>
      <c r="F16" s="8"/>
      <c r="H16" s="8"/>
    </row>
    <row r="17" spans="1:11" x14ac:dyDescent="0.25">
      <c r="A17" s="8"/>
      <c r="C17" s="8"/>
      <c r="E17" s="8"/>
      <c r="F17" s="8"/>
      <c r="H17" s="8"/>
    </row>
    <row r="18" spans="1:11" x14ac:dyDescent="0.25">
      <c r="A18" s="8"/>
      <c r="C18" s="8"/>
      <c r="E18" s="8"/>
      <c r="F18" s="8"/>
      <c r="H18" s="8"/>
    </row>
    <row r="19" spans="1:11" x14ac:dyDescent="0.25">
      <c r="A19" s="8"/>
      <c r="C19" s="8"/>
      <c r="E19" s="8"/>
      <c r="F19" s="8"/>
      <c r="H19" s="8"/>
    </row>
    <row r="20" spans="1:11" x14ac:dyDescent="0.25">
      <c r="A20" s="8" t="s">
        <v>98</v>
      </c>
      <c r="B20" s="8"/>
      <c r="C20" s="8"/>
      <c r="D20" s="8"/>
      <c r="E20" s="8"/>
      <c r="F20" s="8"/>
      <c r="G20" s="8"/>
      <c r="H20" s="8"/>
    </row>
    <row r="21" spans="1:11" x14ac:dyDescent="0.25">
      <c r="A21" s="8" t="s">
        <v>99</v>
      </c>
      <c r="B21" s="8"/>
      <c r="C21" s="8"/>
      <c r="D21" s="8"/>
      <c r="E21" s="8"/>
      <c r="F21" s="8"/>
      <c r="G21" s="8"/>
      <c r="H21" s="8"/>
    </row>
    <row r="22" spans="1:11" x14ac:dyDescent="0.25">
      <c r="A22" s="8"/>
      <c r="B22" s="8"/>
      <c r="C22" s="8"/>
      <c r="D22" s="8"/>
      <c r="E22" s="8"/>
      <c r="F22" s="8"/>
      <c r="G22" s="8"/>
      <c r="H22" s="8"/>
    </row>
    <row r="23" spans="1:11" x14ac:dyDescent="0.25">
      <c r="A23" s="586" t="s">
        <v>337</v>
      </c>
      <c r="B23" s="8"/>
      <c r="C23" s="8"/>
      <c r="D23" s="8"/>
      <c r="E23" s="8"/>
      <c r="F23" s="8">
        <v>0</v>
      </c>
      <c r="G23" s="8"/>
      <c r="H23" s="8"/>
    </row>
    <row r="24" spans="1:11" x14ac:dyDescent="0.25">
      <c r="A24" s="586"/>
      <c r="B24" s="8"/>
      <c r="C24" s="8"/>
      <c r="D24" s="8"/>
      <c r="E24" s="8"/>
      <c r="F24" s="8"/>
      <c r="G24" s="8"/>
      <c r="H24" s="8"/>
    </row>
    <row r="25" spans="1:11" x14ac:dyDescent="0.25">
      <c r="A25" s="586" t="s">
        <v>338</v>
      </c>
      <c r="B25" s="8"/>
      <c r="C25" s="8"/>
      <c r="D25" s="8"/>
      <c r="E25" s="8"/>
      <c r="F25" s="8">
        <v>0</v>
      </c>
      <c r="G25" s="8"/>
      <c r="H25" s="8"/>
    </row>
    <row r="26" spans="1:11" x14ac:dyDescent="0.25">
      <c r="A26" s="586"/>
      <c r="B26" s="8"/>
      <c r="C26" s="8"/>
      <c r="D26" s="8"/>
      <c r="E26" s="8"/>
      <c r="F26" s="8"/>
      <c r="G26" s="8"/>
      <c r="H26" s="8"/>
    </row>
    <row r="27" spans="1:11" x14ac:dyDescent="0.25">
      <c r="A27" s="586" t="s">
        <v>339</v>
      </c>
      <c r="B27" s="8"/>
      <c r="C27" s="8"/>
      <c r="D27" s="8"/>
      <c r="E27" s="8"/>
      <c r="F27" s="8">
        <v>0</v>
      </c>
      <c r="G27" s="8"/>
      <c r="H27" s="8"/>
      <c r="K27" s="6"/>
    </row>
    <row r="28" spans="1:11" x14ac:dyDescent="0.25">
      <c r="A28" s="586"/>
      <c r="B28" s="44"/>
      <c r="C28" s="8"/>
      <c r="D28" s="8"/>
      <c r="E28" s="8"/>
      <c r="F28" s="8"/>
      <c r="G28" s="8"/>
      <c r="H28" s="8"/>
    </row>
    <row r="29" spans="1:11" x14ac:dyDescent="0.25">
      <c r="A29" s="586" t="s">
        <v>340</v>
      </c>
      <c r="B29" s="8"/>
      <c r="C29" s="8"/>
      <c r="D29" s="8"/>
      <c r="E29" s="8"/>
      <c r="F29" s="8">
        <v>0</v>
      </c>
      <c r="G29" s="8"/>
      <c r="H29" s="8"/>
    </row>
    <row r="30" spans="1:11" x14ac:dyDescent="0.25">
      <c r="A30" s="586"/>
      <c r="B30" s="8"/>
      <c r="C30" s="8"/>
      <c r="D30" s="8"/>
      <c r="E30" s="8"/>
      <c r="F30" s="8"/>
      <c r="G30" s="8"/>
      <c r="H30" s="8"/>
    </row>
    <row r="31" spans="1:11" x14ac:dyDescent="0.25">
      <c r="A31" s="586" t="s">
        <v>341</v>
      </c>
      <c r="B31" s="8"/>
      <c r="C31" s="8"/>
      <c r="D31" s="8"/>
      <c r="E31" s="8"/>
      <c r="F31" s="8">
        <v>0</v>
      </c>
      <c r="G31" s="8"/>
      <c r="H31" s="8"/>
    </row>
    <row r="32" spans="1:11" x14ac:dyDescent="0.25">
      <c r="A32" s="1"/>
      <c r="B32" s="8"/>
      <c r="C32" s="8"/>
      <c r="D32" s="8"/>
      <c r="E32" s="8"/>
      <c r="F32" s="8"/>
      <c r="G32" s="8"/>
      <c r="H32" s="8"/>
    </row>
    <row r="33" spans="1:8" x14ac:dyDescent="0.25">
      <c r="A33" s="8"/>
      <c r="B33" s="8"/>
      <c r="C33" s="8"/>
      <c r="D33" s="8"/>
      <c r="E33" s="8" t="s">
        <v>101</v>
      </c>
      <c r="F33" s="11">
        <f>SUM(F18:F31)</f>
        <v>0</v>
      </c>
      <c r="G33" s="8"/>
      <c r="H33" s="8"/>
    </row>
    <row r="34" spans="1:8" x14ac:dyDescent="0.25">
      <c r="A34" s="8"/>
      <c r="D34" s="8"/>
      <c r="E34" s="8"/>
      <c r="F34" s="8"/>
      <c r="G34" s="8"/>
      <c r="H34" s="8"/>
    </row>
    <row r="35" spans="1:8" x14ac:dyDescent="0.25">
      <c r="A35" s="8" t="s">
        <v>108</v>
      </c>
      <c r="B35" s="8"/>
      <c r="C35" s="8"/>
      <c r="D35" s="8"/>
      <c r="E35" s="8"/>
      <c r="F35" s="8"/>
      <c r="G35" s="8"/>
      <c r="H35" s="8"/>
    </row>
    <row r="36" spans="1:8" x14ac:dyDescent="0.25">
      <c r="A36" s="8" t="s">
        <v>99</v>
      </c>
      <c r="B36" s="8"/>
      <c r="C36" s="8"/>
      <c r="D36" s="8"/>
      <c r="E36" s="8"/>
      <c r="F36" s="8"/>
      <c r="G36" s="8"/>
      <c r="H36" s="8"/>
    </row>
    <row r="37" spans="1:8" x14ac:dyDescent="0.25">
      <c r="A37" s="1"/>
      <c r="B37" s="8"/>
      <c r="C37" s="8"/>
      <c r="D37" s="8"/>
      <c r="E37" s="8"/>
      <c r="G37" s="8"/>
      <c r="H37" s="8"/>
    </row>
    <row r="38" spans="1:8" x14ac:dyDescent="0.25">
      <c r="A38" s="586" t="s">
        <v>342</v>
      </c>
      <c r="B38" s="8"/>
      <c r="C38" s="8"/>
      <c r="D38" s="8"/>
      <c r="E38" s="8"/>
      <c r="F38" s="8"/>
      <c r="G38" s="8">
        <v>0</v>
      </c>
      <c r="H38" s="8"/>
    </row>
    <row r="39" spans="1:8" x14ac:dyDescent="0.25">
      <c r="A39" s="586"/>
      <c r="B39" s="8"/>
      <c r="C39" s="8"/>
      <c r="D39" s="8"/>
      <c r="E39" s="8"/>
      <c r="F39" s="8"/>
      <c r="G39" s="8"/>
      <c r="H39" s="8"/>
    </row>
    <row r="40" spans="1:8" x14ac:dyDescent="0.25">
      <c r="A40" s="586" t="s">
        <v>343</v>
      </c>
      <c r="B40" s="8"/>
      <c r="C40" s="8"/>
      <c r="D40" s="8"/>
      <c r="E40" s="8"/>
      <c r="F40" s="8"/>
      <c r="G40" s="8">
        <v>0</v>
      </c>
      <c r="H40" s="8"/>
    </row>
    <row r="41" spans="1:8" x14ac:dyDescent="0.25">
      <c r="A41" s="586"/>
      <c r="B41" s="8"/>
      <c r="C41" s="8"/>
      <c r="D41" s="8"/>
      <c r="E41" s="8"/>
      <c r="F41" s="8"/>
      <c r="G41" s="8"/>
      <c r="H41" s="8"/>
    </row>
    <row r="42" spans="1:8" x14ac:dyDescent="0.25">
      <c r="A42" s="586" t="s">
        <v>344</v>
      </c>
      <c r="B42" s="8"/>
      <c r="C42" s="8"/>
      <c r="D42" s="8"/>
      <c r="E42" s="8"/>
      <c r="F42" s="8"/>
      <c r="G42" s="8">
        <v>0</v>
      </c>
      <c r="H42" s="8"/>
    </row>
    <row r="43" spans="1:8" x14ac:dyDescent="0.25">
      <c r="A43" s="586"/>
      <c r="B43" s="44"/>
      <c r="C43" s="8"/>
      <c r="D43" s="8"/>
      <c r="E43" s="8"/>
      <c r="F43" s="8"/>
      <c r="G43" s="8"/>
      <c r="H43" s="8"/>
    </row>
    <row r="44" spans="1:8" x14ac:dyDescent="0.25">
      <c r="A44" s="586" t="s">
        <v>345</v>
      </c>
      <c r="B44" s="8"/>
      <c r="C44" s="8"/>
      <c r="D44" s="8"/>
      <c r="E44" s="8"/>
      <c r="F44" s="8"/>
      <c r="G44" s="8">
        <v>0</v>
      </c>
      <c r="H44" s="8"/>
    </row>
    <row r="45" spans="1:8" x14ac:dyDescent="0.25">
      <c r="A45" s="586"/>
      <c r="B45" s="8"/>
      <c r="C45" s="8"/>
      <c r="D45" s="8"/>
      <c r="E45" s="8"/>
      <c r="F45" s="8"/>
      <c r="G45" s="8"/>
      <c r="H45" s="8"/>
    </row>
    <row r="46" spans="1:8" x14ac:dyDescent="0.25">
      <c r="A46" s="586" t="s">
        <v>346</v>
      </c>
      <c r="B46" s="8"/>
      <c r="C46" s="8"/>
      <c r="D46" s="8"/>
      <c r="E46" s="8"/>
      <c r="F46" s="8"/>
      <c r="G46" s="8">
        <v>0</v>
      </c>
      <c r="H46" s="8"/>
    </row>
    <row r="47" spans="1:8" x14ac:dyDescent="0.25">
      <c r="A47" s="1"/>
      <c r="B47" s="8"/>
      <c r="C47" s="8"/>
      <c r="D47" s="8"/>
      <c r="E47" s="8"/>
      <c r="F47" s="8"/>
      <c r="G47" s="11"/>
      <c r="H47" s="8"/>
    </row>
    <row r="48" spans="1:8" x14ac:dyDescent="0.25">
      <c r="A48" s="1"/>
      <c r="B48" s="8"/>
      <c r="C48" s="8"/>
      <c r="D48" s="8"/>
      <c r="E48" s="8"/>
      <c r="G48" s="8"/>
      <c r="H48" s="8"/>
    </row>
    <row r="49" spans="1:10" x14ac:dyDescent="0.25">
      <c r="A49" s="8"/>
      <c r="B49" s="8"/>
      <c r="C49" s="8"/>
      <c r="D49" s="8"/>
      <c r="E49" s="8" t="s">
        <v>102</v>
      </c>
      <c r="G49" s="11">
        <f>SUM(G38:G46)</f>
        <v>0</v>
      </c>
      <c r="H49" s="8"/>
    </row>
    <row r="50" spans="1:10" x14ac:dyDescent="0.25">
      <c r="A50" s="55" t="s">
        <v>288</v>
      </c>
      <c r="B50" s="14"/>
      <c r="H50" s="8"/>
    </row>
    <row r="51" spans="1:10" x14ac:dyDescent="0.25">
      <c r="A51" s="1" t="s">
        <v>282</v>
      </c>
      <c r="B51" s="787" t="s">
        <v>398</v>
      </c>
      <c r="H51" s="8"/>
    </row>
    <row r="52" spans="1:10" x14ac:dyDescent="0.25">
      <c r="A52" s="1" t="s">
        <v>283</v>
      </c>
      <c r="B52" s="787" t="s">
        <v>399</v>
      </c>
      <c r="H52" s="8"/>
    </row>
    <row r="53" spans="1:10" x14ac:dyDescent="0.25">
      <c r="A53" s="1" t="s">
        <v>284</v>
      </c>
      <c r="B53" s="788">
        <v>50913212</v>
      </c>
      <c r="H53" s="8"/>
    </row>
    <row r="54" spans="1:10" x14ac:dyDescent="0.25">
      <c r="A54" s="1" t="s">
        <v>285</v>
      </c>
      <c r="B54" s="787" t="s">
        <v>400</v>
      </c>
      <c r="H54" s="8"/>
    </row>
    <row r="55" spans="1:10" x14ac:dyDescent="0.25">
      <c r="A55" s="1" t="s">
        <v>286</v>
      </c>
      <c r="B55" s="789" t="s">
        <v>401</v>
      </c>
      <c r="H55" s="8"/>
    </row>
    <row r="56" spans="1:10" x14ac:dyDescent="0.25">
      <c r="A56" s="1" t="s">
        <v>287</v>
      </c>
      <c r="B56" s="790">
        <v>40026</v>
      </c>
      <c r="H56" s="8"/>
    </row>
    <row r="57" spans="1:10" x14ac:dyDescent="0.25">
      <c r="A57" s="8"/>
      <c r="B57" s="14"/>
      <c r="C57" s="8"/>
      <c r="D57" s="8"/>
      <c r="E57" s="8"/>
      <c r="F57" s="8"/>
      <c r="G57" s="8"/>
      <c r="H57" s="8"/>
    </row>
    <row r="58" spans="1:10" x14ac:dyDescent="0.25">
      <c r="A58" s="8"/>
      <c r="B58" s="8"/>
      <c r="C58" s="8"/>
      <c r="D58" s="8"/>
      <c r="E58" s="8"/>
      <c r="F58" s="8"/>
      <c r="G58" s="8"/>
      <c r="H58" s="8"/>
    </row>
    <row r="59" spans="1:10" ht="13" x14ac:dyDescent="0.3">
      <c r="A59" s="50" t="s">
        <v>6</v>
      </c>
      <c r="C59" s="8"/>
      <c r="D59" s="8"/>
      <c r="E59" s="8"/>
      <c r="F59" s="8"/>
      <c r="G59" s="6"/>
      <c r="H59" s="12">
        <f>H15-F33+G49</f>
        <v>3308834.9599999189</v>
      </c>
      <c r="I59" s="6"/>
      <c r="J59" s="6"/>
    </row>
    <row r="60" spans="1:10" x14ac:dyDescent="0.25">
      <c r="A60" s="8"/>
      <c r="B60" s="8"/>
      <c r="C60" s="8"/>
      <c r="D60" s="8"/>
      <c r="E60" s="8"/>
      <c r="F60" s="8"/>
      <c r="G60" s="8"/>
      <c r="H60" s="8"/>
    </row>
    <row r="61" spans="1:10" x14ac:dyDescent="0.25">
      <c r="A61" s="8"/>
      <c r="B61" s="8"/>
      <c r="C61" s="8"/>
      <c r="D61" s="8"/>
      <c r="E61" s="8"/>
      <c r="F61" s="8"/>
      <c r="G61" s="8"/>
      <c r="H61" s="8"/>
    </row>
    <row r="62" spans="1:10" ht="13" x14ac:dyDescent="0.3">
      <c r="A62" s="519" t="s">
        <v>397</v>
      </c>
      <c r="B62" s="8"/>
      <c r="C62" s="8"/>
      <c r="D62" s="8"/>
      <c r="E62" s="8"/>
      <c r="F62" s="8"/>
      <c r="G62" s="8"/>
      <c r="H62" s="8"/>
    </row>
    <row r="63" spans="1:10" x14ac:dyDescent="0.25">
      <c r="A63" s="8" t="s">
        <v>129</v>
      </c>
      <c r="B63" s="8"/>
      <c r="C63" s="8"/>
      <c r="D63" s="8"/>
      <c r="E63" s="8"/>
      <c r="F63" s="8"/>
      <c r="G63" s="8"/>
      <c r="H63" s="8"/>
    </row>
    <row r="64" spans="1:10" x14ac:dyDescent="0.25">
      <c r="A64" s="8"/>
      <c r="B64" s="8"/>
      <c r="C64" s="8"/>
      <c r="D64" s="8"/>
      <c r="E64" s="8"/>
      <c r="F64" s="8"/>
      <c r="G64" s="8"/>
      <c r="H64" s="8"/>
    </row>
    <row r="65" spans="1:8" x14ac:dyDescent="0.25">
      <c r="A65" s="8"/>
      <c r="B65" s="8"/>
      <c r="C65" s="8"/>
      <c r="D65" s="8"/>
      <c r="E65" s="8"/>
      <c r="F65" s="8"/>
      <c r="G65" s="8"/>
      <c r="H65" s="8"/>
    </row>
    <row r="66" spans="1:8" x14ac:dyDescent="0.25">
      <c r="A66" s="8" t="s">
        <v>79</v>
      </c>
      <c r="B66" s="8"/>
      <c r="C66" s="8"/>
      <c r="D66" s="8"/>
      <c r="E66" s="8"/>
      <c r="G66" s="8" t="s">
        <v>7</v>
      </c>
      <c r="H66" s="8"/>
    </row>
    <row r="67" spans="1:8" x14ac:dyDescent="0.25">
      <c r="A67" s="8" t="s">
        <v>97</v>
      </c>
      <c r="B67" s="8"/>
      <c r="C67" s="8"/>
      <c r="D67" s="8"/>
      <c r="E67" s="8"/>
      <c r="G67" s="8" t="s">
        <v>8</v>
      </c>
      <c r="H67" s="8"/>
    </row>
    <row r="68" spans="1:8" x14ac:dyDescent="0.25">
      <c r="A68" s="8"/>
      <c r="B68" s="8"/>
      <c r="C68" s="8"/>
      <c r="D68" s="8"/>
      <c r="E68" s="8"/>
      <c r="G68" s="8"/>
      <c r="H68" s="8"/>
    </row>
    <row r="69" spans="1:8" x14ac:dyDescent="0.25">
      <c r="A69" s="8" t="s">
        <v>79</v>
      </c>
      <c r="B69" s="8"/>
      <c r="C69" s="8"/>
      <c r="D69" s="8"/>
      <c r="E69" s="8"/>
      <c r="G69" s="8" t="s">
        <v>7</v>
      </c>
      <c r="H69" s="8"/>
    </row>
    <row r="70" spans="1:8" x14ac:dyDescent="0.25">
      <c r="A70" s="8" t="s">
        <v>107</v>
      </c>
      <c r="B70" s="8"/>
      <c r="C70" s="8"/>
      <c r="D70" s="8"/>
      <c r="E70" s="8"/>
      <c r="G70" s="8" t="s">
        <v>8</v>
      </c>
      <c r="H70" s="8"/>
    </row>
    <row r="71" spans="1:8" x14ac:dyDescent="0.25">
      <c r="A71" s="8"/>
      <c r="B71" s="8"/>
      <c r="C71" s="8"/>
      <c r="D71" s="8"/>
      <c r="E71" s="8"/>
      <c r="G71" s="8"/>
      <c r="H71" s="8"/>
    </row>
    <row r="72" spans="1:8" x14ac:dyDescent="0.25">
      <c r="A72" s="8"/>
      <c r="B72" s="8"/>
      <c r="C72" s="8"/>
      <c r="D72" s="8"/>
      <c r="E72" s="8"/>
      <c r="G72" s="8"/>
      <c r="H72" s="8"/>
    </row>
    <row r="73" spans="1:8" x14ac:dyDescent="0.25">
      <c r="A73" s="8" t="s">
        <v>80</v>
      </c>
      <c r="B73" s="8"/>
      <c r="C73" s="8"/>
      <c r="D73" s="8"/>
      <c r="E73" s="8"/>
      <c r="G73" s="8" t="s">
        <v>7</v>
      </c>
      <c r="H73" s="8"/>
    </row>
    <row r="74" spans="1:8" x14ac:dyDescent="0.25">
      <c r="A74" s="8" t="s">
        <v>9</v>
      </c>
      <c r="B74" s="8"/>
      <c r="C74" s="8"/>
      <c r="D74" s="8"/>
      <c r="E74" s="8"/>
      <c r="G74" s="8" t="s">
        <v>8</v>
      </c>
      <c r="H74" s="8"/>
    </row>
    <row r="75" spans="1:8" x14ac:dyDescent="0.25">
      <c r="A75" s="8"/>
      <c r="B75" s="8"/>
      <c r="C75" s="8"/>
      <c r="D75" s="8"/>
      <c r="E75" s="8"/>
      <c r="G75" s="8"/>
      <c r="H75" s="8"/>
    </row>
    <row r="76" spans="1:8" x14ac:dyDescent="0.25">
      <c r="A76" s="8" t="s">
        <v>10</v>
      </c>
      <c r="B76" s="8" t="s">
        <v>11</v>
      </c>
      <c r="C76" s="8"/>
      <c r="D76" s="8" t="s">
        <v>12</v>
      </c>
      <c r="E76" s="8"/>
      <c r="G76" s="8"/>
      <c r="H76" s="8"/>
    </row>
    <row r="77" spans="1:8" x14ac:dyDescent="0.25">
      <c r="A77" s="8"/>
      <c r="B77" s="8"/>
      <c r="C77" s="8"/>
      <c r="D77" s="8"/>
      <c r="E77" s="8"/>
      <c r="G77" s="8"/>
      <c r="H77" s="8"/>
    </row>
    <row r="78" spans="1:8" x14ac:dyDescent="0.25">
      <c r="A78" s="8" t="s">
        <v>13</v>
      </c>
      <c r="B78" s="8"/>
      <c r="C78" s="8"/>
      <c r="D78" s="8"/>
      <c r="E78" s="8"/>
      <c r="G78" s="8" t="s">
        <v>7</v>
      </c>
      <c r="H78" s="8"/>
    </row>
    <row r="79" spans="1:8" x14ac:dyDescent="0.25">
      <c r="A79" s="8" t="s">
        <v>14</v>
      </c>
      <c r="B79" s="8"/>
      <c r="C79" s="8"/>
      <c r="D79" s="8"/>
      <c r="E79" s="8"/>
      <c r="G79" s="8" t="s">
        <v>8</v>
      </c>
      <c r="H79" s="8"/>
    </row>
  </sheetData>
  <mergeCells count="2">
    <mergeCell ref="A1:H1"/>
    <mergeCell ref="C3:H4"/>
  </mergeCells>
  <phoneticPr fontId="5" type="noConversion"/>
  <pageMargins left="0.63" right="0.56000000000000005" top="1" bottom="1" header="0.5" footer="0.5"/>
  <pageSetup paperSize="9" scale="72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356"/>
  <sheetViews>
    <sheetView tabSelected="1" view="pageBreakPreview" topLeftCell="A322" zoomScale="85" zoomScaleNormal="150" zoomScaleSheetLayoutView="85" workbookViewId="0">
      <selection activeCell="E345" sqref="E345"/>
    </sheetView>
  </sheetViews>
  <sheetFormatPr defaultColWidth="8.81640625" defaultRowHeight="12.5" x14ac:dyDescent="0.25"/>
  <cols>
    <col min="1" max="1" width="9.26953125" customWidth="1"/>
    <col min="2" max="2" width="24.453125" customWidth="1"/>
    <col min="3" max="3" width="8" customWidth="1"/>
    <col min="4" max="4" width="14.453125" style="6" customWidth="1"/>
    <col min="5" max="5" width="28.36328125" bestFit="1" customWidth="1"/>
    <col min="6" max="6" width="14.81640625" customWidth="1"/>
    <col min="7" max="7" width="14.1796875" customWidth="1"/>
    <col min="8" max="8" width="14.453125" customWidth="1"/>
    <col min="9" max="9" width="12.453125" customWidth="1"/>
    <col min="10" max="10" width="17.90625" customWidth="1"/>
    <col min="11" max="11" width="12.7265625" bestFit="1" customWidth="1"/>
    <col min="14" max="14" width="13.36328125" bestFit="1" customWidth="1"/>
    <col min="19" max="19" width="13.36328125" bestFit="1" customWidth="1"/>
    <col min="22" max="23" width="11.81640625" bestFit="1" customWidth="1"/>
  </cols>
  <sheetData>
    <row r="1" spans="1:10" ht="13" x14ac:dyDescent="0.3">
      <c r="A1" s="871" t="s">
        <v>73</v>
      </c>
      <c r="B1" s="871"/>
      <c r="C1" s="871"/>
      <c r="D1" s="871"/>
      <c r="E1" s="871"/>
      <c r="F1" s="871"/>
      <c r="G1" s="871"/>
      <c r="H1" s="871"/>
      <c r="I1" s="871"/>
    </row>
    <row r="3" spans="1:10" ht="13" x14ac:dyDescent="0.3">
      <c r="A3" s="50" t="s">
        <v>0</v>
      </c>
      <c r="B3" s="50"/>
      <c r="C3" s="1" t="str">
        <f>'FORM A'!C3</f>
        <v>PROVISION OF PUBLIC PASSENGER TRANSPORT MKUZE AND SURROUNDING</v>
      </c>
      <c r="D3" s="50"/>
      <c r="E3" s="50"/>
      <c r="F3" s="50"/>
      <c r="G3" s="50"/>
      <c r="H3" s="8"/>
      <c r="I3" s="53"/>
    </row>
    <row r="4" spans="1:10" x14ac:dyDescent="0.25">
      <c r="A4" s="8"/>
      <c r="B4" s="8"/>
      <c r="C4" s="8"/>
      <c r="D4" s="8"/>
      <c r="E4" s="8"/>
      <c r="F4" s="8"/>
      <c r="G4" s="8"/>
      <c r="H4" s="8"/>
      <c r="J4" s="8"/>
    </row>
    <row r="5" spans="1:10" ht="13" x14ac:dyDescent="0.3">
      <c r="A5" s="50" t="str">
        <f>'FORM A'!A6</f>
        <v>CONTRACT : ZNT 1129</v>
      </c>
      <c r="B5" s="8"/>
      <c r="C5" s="8"/>
      <c r="D5" s="8"/>
      <c r="E5" s="50" t="s">
        <v>2</v>
      </c>
      <c r="F5" s="438" t="str">
        <f>'FORM A'!F6</f>
        <v>Ripple Effect 40 (Pty) Ltd</v>
      </c>
      <c r="G5" s="8"/>
      <c r="J5" s="8"/>
    </row>
    <row r="6" spans="1:10" ht="13" x14ac:dyDescent="0.3">
      <c r="A6" s="50"/>
      <c r="B6" s="8"/>
      <c r="C6" s="21"/>
      <c r="D6" s="21"/>
      <c r="E6" s="50"/>
      <c r="F6" s="8"/>
      <c r="G6" s="8"/>
      <c r="J6" s="8"/>
    </row>
    <row r="7" spans="1:10" ht="13" x14ac:dyDescent="0.3">
      <c r="A7" s="50" t="s">
        <v>3</v>
      </c>
      <c r="B7" s="8"/>
      <c r="C7" s="125">
        <f>'FORM A'!C8</f>
        <v>320</v>
      </c>
      <c r="D7" s="8"/>
      <c r="E7" s="50" t="s">
        <v>4</v>
      </c>
      <c r="F7" s="99">
        <f>'FORM A'!F8</f>
        <v>45778</v>
      </c>
      <c r="G7" s="8"/>
      <c r="J7" s="10"/>
    </row>
    <row r="8" spans="1:10" x14ac:dyDescent="0.25">
      <c r="A8" s="8"/>
      <c r="B8" s="8"/>
      <c r="C8" s="6"/>
      <c r="D8" s="8"/>
      <c r="E8" s="8"/>
      <c r="F8" s="8"/>
      <c r="J8" s="8"/>
    </row>
    <row r="9" spans="1:10" ht="13" x14ac:dyDescent="0.3">
      <c r="A9" s="52" t="s">
        <v>78</v>
      </c>
      <c r="B9" s="8"/>
      <c r="C9" s="50"/>
      <c r="D9" s="8"/>
      <c r="E9" s="55" t="s">
        <v>93</v>
      </c>
      <c r="F9" s="1"/>
      <c r="G9" s="450">
        <v>0</v>
      </c>
      <c r="I9" s="8"/>
      <c r="J9" s="8"/>
    </row>
    <row r="10" spans="1:10" x14ac:dyDescent="0.25">
      <c r="B10" s="1"/>
      <c r="C10" s="1"/>
      <c r="D10" s="1"/>
      <c r="E10" s="1"/>
      <c r="F10" s="1"/>
      <c r="G10" s="36"/>
      <c r="H10" s="1"/>
      <c r="I10" s="36"/>
      <c r="J10" s="1"/>
    </row>
    <row r="11" spans="1:10" x14ac:dyDescent="0.25">
      <c r="A11" s="2"/>
      <c r="B11" s="2"/>
      <c r="C11" s="2"/>
      <c r="D11" s="16"/>
      <c r="E11" s="2"/>
      <c r="F11" s="189" t="s">
        <v>94</v>
      </c>
      <c r="G11" s="43" t="s">
        <v>96</v>
      </c>
      <c r="H11" s="2"/>
      <c r="I11" s="43" t="s">
        <v>228</v>
      </c>
      <c r="J11" s="1"/>
    </row>
    <row r="12" spans="1:10" x14ac:dyDescent="0.25">
      <c r="A12" s="43" t="s">
        <v>74</v>
      </c>
      <c r="B12" s="43" t="s">
        <v>15</v>
      </c>
      <c r="C12" s="43" t="s">
        <v>16</v>
      </c>
      <c r="D12" s="17" t="s">
        <v>17</v>
      </c>
      <c r="E12" s="43" t="s">
        <v>18</v>
      </c>
      <c r="F12" s="43" t="s">
        <v>95</v>
      </c>
      <c r="G12" s="51" t="s">
        <v>95</v>
      </c>
      <c r="H12" s="43" t="s">
        <v>127</v>
      </c>
      <c r="I12" s="43" t="s">
        <v>226</v>
      </c>
      <c r="J12" s="1"/>
    </row>
    <row r="13" spans="1:10" x14ac:dyDescent="0.25">
      <c r="A13" s="43" t="s">
        <v>75</v>
      </c>
      <c r="B13" s="43"/>
      <c r="C13" s="43"/>
      <c r="D13" s="17" t="s">
        <v>19</v>
      </c>
      <c r="E13" s="70" t="s">
        <v>126</v>
      </c>
      <c r="F13" s="51" t="s">
        <v>223</v>
      </c>
      <c r="G13" s="43" t="s">
        <v>225</v>
      </c>
      <c r="H13" s="70" t="s">
        <v>128</v>
      </c>
      <c r="I13" s="43" t="s">
        <v>229</v>
      </c>
      <c r="J13" s="1"/>
    </row>
    <row r="14" spans="1:10" x14ac:dyDescent="0.25">
      <c r="A14" s="43"/>
      <c r="B14" s="43"/>
      <c r="C14" s="43"/>
      <c r="D14" s="17"/>
      <c r="E14" s="71"/>
      <c r="F14" s="43" t="s">
        <v>224</v>
      </c>
      <c r="G14" s="43" t="s">
        <v>224</v>
      </c>
      <c r="H14" s="71" t="s">
        <v>121</v>
      </c>
      <c r="I14" s="31" t="s">
        <v>227</v>
      </c>
      <c r="J14" s="1"/>
    </row>
    <row r="15" spans="1:10" x14ac:dyDescent="0.25">
      <c r="A15" s="39">
        <v>1</v>
      </c>
      <c r="B15" s="39">
        <v>2</v>
      </c>
      <c r="C15" s="39">
        <v>3</v>
      </c>
      <c r="D15" s="39">
        <v>4</v>
      </c>
      <c r="E15" s="39">
        <v>5</v>
      </c>
      <c r="F15" s="39">
        <v>6</v>
      </c>
      <c r="G15" s="39">
        <v>7</v>
      </c>
      <c r="H15" s="39">
        <v>8</v>
      </c>
      <c r="I15" s="39">
        <v>9</v>
      </c>
      <c r="J15" s="1"/>
    </row>
    <row r="16" spans="1:10" x14ac:dyDescent="0.25">
      <c r="A16" s="873" t="s">
        <v>311</v>
      </c>
      <c r="B16" s="873"/>
      <c r="C16" s="873"/>
      <c r="D16" s="873"/>
      <c r="E16" s="579">
        <v>5505132.3999999166</v>
      </c>
      <c r="F16" s="874"/>
      <c r="G16" s="875"/>
      <c r="H16" s="875"/>
      <c r="I16" s="876"/>
      <c r="J16" s="1"/>
    </row>
    <row r="17" spans="1:10" x14ac:dyDescent="0.25">
      <c r="A17" s="43">
        <v>1</v>
      </c>
      <c r="B17" s="132" t="s">
        <v>293</v>
      </c>
      <c r="C17" s="43">
        <v>1998</v>
      </c>
      <c r="D17" s="17">
        <v>663682.91</v>
      </c>
      <c r="E17" s="17">
        <f t="shared" ref="E17:E82" si="0">D17</f>
        <v>663682.91</v>
      </c>
      <c r="F17" s="17"/>
      <c r="G17" s="17"/>
      <c r="H17" s="26">
        <f t="shared" ref="H17:H264" si="1">D17</f>
        <v>663682.91</v>
      </c>
      <c r="I17" s="17"/>
      <c r="J17" s="1"/>
    </row>
    <row r="18" spans="1:10" x14ac:dyDescent="0.25">
      <c r="A18" s="43">
        <f>A17+1</f>
        <v>2</v>
      </c>
      <c r="B18" s="132" t="s">
        <v>294</v>
      </c>
      <c r="C18" s="43">
        <v>1998</v>
      </c>
      <c r="D18" s="17">
        <v>552711.4800000001</v>
      </c>
      <c r="E18" s="17">
        <f t="shared" si="0"/>
        <v>552711.4800000001</v>
      </c>
      <c r="F18" s="17"/>
      <c r="G18" s="17"/>
      <c r="H18" s="26">
        <f t="shared" si="1"/>
        <v>552711.4800000001</v>
      </c>
      <c r="I18" s="17"/>
      <c r="J18" s="1"/>
    </row>
    <row r="19" spans="1:10" x14ac:dyDescent="0.25">
      <c r="A19" s="43">
        <f t="shared" ref="A19:A83" si="2">A18+1</f>
        <v>3</v>
      </c>
      <c r="B19" s="132" t="s">
        <v>295</v>
      </c>
      <c r="C19" s="43">
        <v>1999</v>
      </c>
      <c r="D19" s="17">
        <v>636065.72</v>
      </c>
      <c r="E19" s="17">
        <f t="shared" si="0"/>
        <v>636065.72</v>
      </c>
      <c r="F19" s="17"/>
      <c r="G19" s="17"/>
      <c r="H19" s="26">
        <f t="shared" si="1"/>
        <v>636065.72</v>
      </c>
      <c r="I19" s="17"/>
      <c r="J19" s="1"/>
    </row>
    <row r="20" spans="1:10" x14ac:dyDescent="0.25">
      <c r="A20" s="43">
        <f t="shared" si="2"/>
        <v>4</v>
      </c>
      <c r="B20" s="132" t="s">
        <v>296</v>
      </c>
      <c r="C20" s="43">
        <v>1999</v>
      </c>
      <c r="D20" s="17">
        <v>615122.13000000012</v>
      </c>
      <c r="E20" s="17">
        <f t="shared" si="0"/>
        <v>615122.13000000012</v>
      </c>
      <c r="F20" s="17"/>
      <c r="G20" s="17"/>
      <c r="H20" s="26">
        <f t="shared" si="1"/>
        <v>615122.13000000012</v>
      </c>
      <c r="I20" s="17"/>
      <c r="J20" s="1"/>
    </row>
    <row r="21" spans="1:10" x14ac:dyDescent="0.25">
      <c r="A21" s="43">
        <f t="shared" si="2"/>
        <v>5</v>
      </c>
      <c r="B21" s="132" t="s">
        <v>297</v>
      </c>
      <c r="C21" s="43">
        <v>1999</v>
      </c>
      <c r="D21" s="17">
        <v>687738.39999999991</v>
      </c>
      <c r="E21" s="17">
        <f t="shared" si="0"/>
        <v>687738.39999999991</v>
      </c>
      <c r="F21" s="17"/>
      <c r="G21" s="17"/>
      <c r="H21" s="26">
        <f t="shared" si="1"/>
        <v>687738.39999999991</v>
      </c>
      <c r="I21" s="17"/>
      <c r="J21" s="1"/>
    </row>
    <row r="22" spans="1:10" x14ac:dyDescent="0.25">
      <c r="A22" s="43">
        <f t="shared" si="2"/>
        <v>6</v>
      </c>
      <c r="B22" s="132" t="s">
        <v>298</v>
      </c>
      <c r="C22" s="43">
        <v>1999</v>
      </c>
      <c r="D22" s="17">
        <v>335237.70000000065</v>
      </c>
      <c r="E22" s="17">
        <f t="shared" si="0"/>
        <v>335237.70000000065</v>
      </c>
      <c r="F22" s="17"/>
      <c r="G22" s="17"/>
      <c r="H22" s="26">
        <f t="shared" si="1"/>
        <v>335237.70000000065</v>
      </c>
      <c r="I22" s="17"/>
      <c r="J22" s="1"/>
    </row>
    <row r="23" spans="1:10" x14ac:dyDescent="0.25">
      <c r="A23" s="43">
        <f t="shared" si="2"/>
        <v>7</v>
      </c>
      <c r="B23" s="132" t="s">
        <v>299</v>
      </c>
      <c r="C23" s="43">
        <v>1999</v>
      </c>
      <c r="D23" s="17">
        <v>606701.3899999992</v>
      </c>
      <c r="E23" s="17">
        <f t="shared" si="0"/>
        <v>606701.3899999992</v>
      </c>
      <c r="F23" s="17"/>
      <c r="G23" s="17"/>
      <c r="H23" s="26">
        <f t="shared" si="1"/>
        <v>606701.3899999992</v>
      </c>
      <c r="I23" s="17"/>
      <c r="J23" s="1"/>
    </row>
    <row r="24" spans="1:10" x14ac:dyDescent="0.25">
      <c r="A24" s="43">
        <f t="shared" si="2"/>
        <v>8</v>
      </c>
      <c r="B24" s="132" t="s">
        <v>300</v>
      </c>
      <c r="C24" s="43">
        <v>1999</v>
      </c>
      <c r="D24" s="17">
        <v>632266.31000000006</v>
      </c>
      <c r="E24" s="17">
        <f t="shared" si="0"/>
        <v>632266.31000000006</v>
      </c>
      <c r="F24" s="17"/>
      <c r="G24" s="17"/>
      <c r="H24" s="26">
        <f t="shared" si="1"/>
        <v>632266.31000000006</v>
      </c>
      <c r="I24" s="17"/>
      <c r="J24" s="1"/>
    </row>
    <row r="25" spans="1:10" x14ac:dyDescent="0.25">
      <c r="A25" s="43">
        <f t="shared" si="2"/>
        <v>9</v>
      </c>
      <c r="B25" s="132" t="s">
        <v>289</v>
      </c>
      <c r="C25" s="43">
        <v>1999</v>
      </c>
      <c r="D25" s="17">
        <v>861564.09999999963</v>
      </c>
      <c r="E25" s="17">
        <f t="shared" si="0"/>
        <v>861564.09999999963</v>
      </c>
      <c r="F25" s="17"/>
      <c r="G25" s="17"/>
      <c r="H25" s="26">
        <f t="shared" si="1"/>
        <v>861564.09999999963</v>
      </c>
      <c r="I25" s="17"/>
      <c r="J25" s="1"/>
    </row>
    <row r="26" spans="1:10" x14ac:dyDescent="0.25">
      <c r="A26" s="43">
        <f t="shared" si="2"/>
        <v>10</v>
      </c>
      <c r="B26" s="132" t="s">
        <v>290</v>
      </c>
      <c r="C26" s="43">
        <v>1999</v>
      </c>
      <c r="D26" s="17">
        <v>694941.72000000067</v>
      </c>
      <c r="E26" s="17">
        <f t="shared" si="0"/>
        <v>694941.72000000067</v>
      </c>
      <c r="F26" s="17"/>
      <c r="G26" s="17"/>
      <c r="H26" s="26">
        <f t="shared" si="1"/>
        <v>694941.72000000067</v>
      </c>
      <c r="I26" s="17"/>
      <c r="J26" s="1"/>
    </row>
    <row r="27" spans="1:10" x14ac:dyDescent="0.25">
      <c r="A27" s="43">
        <f t="shared" si="2"/>
        <v>11</v>
      </c>
      <c r="B27" s="132" t="s">
        <v>291</v>
      </c>
      <c r="C27" s="43">
        <v>1999</v>
      </c>
      <c r="D27" s="17">
        <v>753476.86000000127</v>
      </c>
      <c r="E27" s="17">
        <f t="shared" si="0"/>
        <v>753476.86000000127</v>
      </c>
      <c r="F27" s="17"/>
      <c r="G27" s="17"/>
      <c r="H27" s="26">
        <f t="shared" si="1"/>
        <v>753476.86000000127</v>
      </c>
      <c r="I27" s="17"/>
      <c r="J27" s="1"/>
    </row>
    <row r="28" spans="1:10" x14ac:dyDescent="0.25">
      <c r="A28" s="43">
        <f t="shared" si="2"/>
        <v>12</v>
      </c>
      <c r="B28" s="132" t="s">
        <v>292</v>
      </c>
      <c r="C28" s="43">
        <v>1999</v>
      </c>
      <c r="D28" s="17">
        <v>691530.91999999899</v>
      </c>
      <c r="E28" s="17">
        <f t="shared" si="0"/>
        <v>691530.91999999899</v>
      </c>
      <c r="F28" s="17"/>
      <c r="G28" s="17"/>
      <c r="H28" s="26">
        <f t="shared" si="1"/>
        <v>691530.91999999899</v>
      </c>
      <c r="I28" s="17"/>
      <c r="J28" s="1"/>
    </row>
    <row r="29" spans="1:10" x14ac:dyDescent="0.25">
      <c r="A29" s="43">
        <f t="shared" si="2"/>
        <v>13</v>
      </c>
      <c r="B29" s="132" t="s">
        <v>293</v>
      </c>
      <c r="C29" s="43">
        <v>1999</v>
      </c>
      <c r="D29" s="17">
        <v>778922.03999999911</v>
      </c>
      <c r="E29" s="17">
        <f t="shared" si="0"/>
        <v>778922.03999999911</v>
      </c>
      <c r="F29" s="17"/>
      <c r="G29" s="17"/>
      <c r="H29" s="26">
        <f t="shared" si="1"/>
        <v>778922.03999999911</v>
      </c>
      <c r="I29" s="17"/>
      <c r="J29" s="1"/>
    </row>
    <row r="30" spans="1:10" x14ac:dyDescent="0.25">
      <c r="A30" s="43">
        <f t="shared" si="2"/>
        <v>14</v>
      </c>
      <c r="B30" s="132" t="s">
        <v>294</v>
      </c>
      <c r="C30" s="43">
        <v>1999</v>
      </c>
      <c r="D30" s="17">
        <v>784160.16999999993</v>
      </c>
      <c r="E30" s="17">
        <f t="shared" si="0"/>
        <v>784160.16999999993</v>
      </c>
      <c r="F30" s="17"/>
      <c r="G30" s="17"/>
      <c r="H30" s="26">
        <f t="shared" si="1"/>
        <v>784160.16999999993</v>
      </c>
      <c r="I30" s="17"/>
      <c r="J30" s="1"/>
    </row>
    <row r="31" spans="1:10" x14ac:dyDescent="0.25">
      <c r="A31" s="43">
        <f t="shared" si="2"/>
        <v>15</v>
      </c>
      <c r="B31" s="132" t="s">
        <v>295</v>
      </c>
      <c r="C31" s="43">
        <v>2000</v>
      </c>
      <c r="D31" s="17">
        <v>767314.19000000134</v>
      </c>
      <c r="E31" s="17">
        <f t="shared" si="0"/>
        <v>767314.19000000134</v>
      </c>
      <c r="F31" s="17"/>
      <c r="G31" s="17"/>
      <c r="H31" s="26">
        <f t="shared" si="1"/>
        <v>767314.19000000134</v>
      </c>
      <c r="I31" s="17"/>
      <c r="J31" s="1"/>
    </row>
    <row r="32" spans="1:10" x14ac:dyDescent="0.25">
      <c r="A32" s="43">
        <f t="shared" si="2"/>
        <v>16</v>
      </c>
      <c r="B32" s="132" t="s">
        <v>296</v>
      </c>
      <c r="C32" s="43">
        <v>2000</v>
      </c>
      <c r="D32" s="17">
        <v>713970.8599999994</v>
      </c>
      <c r="E32" s="17">
        <f t="shared" si="0"/>
        <v>713970.8599999994</v>
      </c>
      <c r="F32" s="17"/>
      <c r="G32" s="17"/>
      <c r="H32" s="26">
        <f t="shared" si="1"/>
        <v>713970.8599999994</v>
      </c>
      <c r="I32" s="17"/>
      <c r="J32" s="1"/>
    </row>
    <row r="33" spans="1:10" x14ac:dyDescent="0.25">
      <c r="A33" s="43">
        <f t="shared" si="2"/>
        <v>17</v>
      </c>
      <c r="B33" s="132" t="s">
        <v>297</v>
      </c>
      <c r="C33" s="43">
        <v>2000</v>
      </c>
      <c r="D33" s="17">
        <v>785102.62999999896</v>
      </c>
      <c r="E33" s="17">
        <f t="shared" si="0"/>
        <v>785102.62999999896</v>
      </c>
      <c r="F33" s="17"/>
      <c r="G33" s="17"/>
      <c r="H33" s="26">
        <f t="shared" si="1"/>
        <v>785102.62999999896</v>
      </c>
      <c r="I33" s="17"/>
      <c r="J33" s="1"/>
    </row>
    <row r="34" spans="1:10" x14ac:dyDescent="0.25">
      <c r="A34" s="43">
        <f t="shared" si="2"/>
        <v>18</v>
      </c>
      <c r="B34" s="132" t="s">
        <v>298</v>
      </c>
      <c r="C34" s="43">
        <v>2000</v>
      </c>
      <c r="D34" s="17">
        <v>782028.46000000089</v>
      </c>
      <c r="E34" s="17">
        <f t="shared" si="0"/>
        <v>782028.46000000089</v>
      </c>
      <c r="F34" s="17"/>
      <c r="G34" s="17"/>
      <c r="H34" s="26">
        <f t="shared" si="1"/>
        <v>782028.46000000089</v>
      </c>
      <c r="I34" s="17"/>
      <c r="J34" s="1"/>
    </row>
    <row r="35" spans="1:10" x14ac:dyDescent="0.25">
      <c r="A35" s="43">
        <f t="shared" si="2"/>
        <v>19</v>
      </c>
      <c r="B35" s="132" t="s">
        <v>299</v>
      </c>
      <c r="C35" s="43">
        <v>2000</v>
      </c>
      <c r="D35" s="17">
        <v>722166.4299999997</v>
      </c>
      <c r="E35" s="17">
        <f t="shared" si="0"/>
        <v>722166.4299999997</v>
      </c>
      <c r="F35" s="17"/>
      <c r="G35" s="17"/>
      <c r="H35" s="26">
        <f t="shared" si="1"/>
        <v>722166.4299999997</v>
      </c>
      <c r="I35" s="17"/>
      <c r="J35" s="1"/>
    </row>
    <row r="36" spans="1:10" x14ac:dyDescent="0.25">
      <c r="A36" s="43">
        <f t="shared" si="2"/>
        <v>20</v>
      </c>
      <c r="B36" s="132" t="s">
        <v>300</v>
      </c>
      <c r="C36" s="43">
        <v>2000</v>
      </c>
      <c r="D36" s="17">
        <v>897997.58999999985</v>
      </c>
      <c r="E36" s="17">
        <f t="shared" si="0"/>
        <v>897997.58999999985</v>
      </c>
      <c r="F36" s="17"/>
      <c r="G36" s="17"/>
      <c r="H36" s="26">
        <f t="shared" si="1"/>
        <v>897997.58999999985</v>
      </c>
      <c r="I36" s="17"/>
      <c r="J36" s="1"/>
    </row>
    <row r="37" spans="1:10" x14ac:dyDescent="0.25">
      <c r="A37" s="43">
        <f t="shared" si="2"/>
        <v>21</v>
      </c>
      <c r="B37" s="132" t="s">
        <v>289</v>
      </c>
      <c r="C37" s="43">
        <v>2000</v>
      </c>
      <c r="D37" s="17">
        <v>653758.17000000365</v>
      </c>
      <c r="E37" s="17">
        <f t="shared" si="0"/>
        <v>653758.17000000365</v>
      </c>
      <c r="F37" s="17"/>
      <c r="G37" s="17"/>
      <c r="H37" s="26">
        <f t="shared" si="1"/>
        <v>653758.17000000365</v>
      </c>
      <c r="I37" s="17"/>
      <c r="J37" s="1"/>
    </row>
    <row r="38" spans="1:10" x14ac:dyDescent="0.25">
      <c r="A38" s="43">
        <f t="shared" si="2"/>
        <v>22</v>
      </c>
      <c r="B38" s="132" t="s">
        <v>290</v>
      </c>
      <c r="C38" s="43">
        <v>2000</v>
      </c>
      <c r="D38" s="17">
        <v>782646.52999999747</v>
      </c>
      <c r="E38" s="17">
        <f t="shared" si="0"/>
        <v>782646.52999999747</v>
      </c>
      <c r="F38" s="17"/>
      <c r="G38" s="17"/>
      <c r="H38" s="26">
        <f t="shared" si="1"/>
        <v>782646.52999999747</v>
      </c>
      <c r="I38" s="17"/>
      <c r="J38" s="1"/>
    </row>
    <row r="39" spans="1:10" x14ac:dyDescent="0.25">
      <c r="A39" s="43">
        <f t="shared" si="2"/>
        <v>23</v>
      </c>
      <c r="B39" s="132" t="s">
        <v>291</v>
      </c>
      <c r="C39" s="43">
        <v>2000</v>
      </c>
      <c r="D39" s="17">
        <v>888930.16000000015</v>
      </c>
      <c r="E39" s="17">
        <f t="shared" si="0"/>
        <v>888930.16000000015</v>
      </c>
      <c r="F39" s="17"/>
      <c r="G39" s="17"/>
      <c r="H39" s="26">
        <f t="shared" si="1"/>
        <v>888930.16000000015</v>
      </c>
      <c r="I39" s="17"/>
      <c r="J39" s="1"/>
    </row>
    <row r="40" spans="1:10" x14ac:dyDescent="0.25">
      <c r="A40" s="43">
        <f t="shared" si="2"/>
        <v>24</v>
      </c>
      <c r="B40" s="132" t="s">
        <v>292</v>
      </c>
      <c r="C40" s="43">
        <v>2000</v>
      </c>
      <c r="D40" s="17">
        <v>902304.64999999851</v>
      </c>
      <c r="E40" s="17">
        <f t="shared" si="0"/>
        <v>902304.64999999851</v>
      </c>
      <c r="F40" s="17"/>
      <c r="G40" s="17"/>
      <c r="H40" s="26">
        <f t="shared" si="1"/>
        <v>902304.64999999851</v>
      </c>
      <c r="I40" s="17"/>
      <c r="J40" s="1"/>
    </row>
    <row r="41" spans="1:10" x14ac:dyDescent="0.25">
      <c r="A41" s="43">
        <f t="shared" si="2"/>
        <v>25</v>
      </c>
      <c r="B41" s="132" t="s">
        <v>293</v>
      </c>
      <c r="C41" s="43">
        <v>2000</v>
      </c>
      <c r="D41" s="17">
        <v>795334.02</v>
      </c>
      <c r="E41" s="17">
        <f t="shared" si="0"/>
        <v>795334.02</v>
      </c>
      <c r="F41" s="17"/>
      <c r="G41" s="17"/>
      <c r="H41" s="26">
        <f t="shared" si="1"/>
        <v>795334.02</v>
      </c>
      <c r="I41" s="17"/>
      <c r="J41" s="1"/>
    </row>
    <row r="42" spans="1:10" x14ac:dyDescent="0.25">
      <c r="A42" s="43">
        <f t="shared" si="2"/>
        <v>26</v>
      </c>
      <c r="B42" s="132" t="s">
        <v>294</v>
      </c>
      <c r="C42" s="43">
        <v>2000</v>
      </c>
      <c r="D42" s="17">
        <v>783205.0900000002</v>
      </c>
      <c r="E42" s="17">
        <f t="shared" si="0"/>
        <v>783205.0900000002</v>
      </c>
      <c r="F42" s="17"/>
      <c r="G42" s="17"/>
      <c r="H42" s="26">
        <f t="shared" si="1"/>
        <v>783205.0900000002</v>
      </c>
      <c r="I42" s="17"/>
      <c r="J42" s="1"/>
    </row>
    <row r="43" spans="1:10" x14ac:dyDescent="0.25">
      <c r="A43" s="43">
        <f t="shared" si="2"/>
        <v>27</v>
      </c>
      <c r="B43" s="132" t="s">
        <v>295</v>
      </c>
      <c r="C43" s="43">
        <v>2001</v>
      </c>
      <c r="D43" s="17">
        <v>470298.4</v>
      </c>
      <c r="E43" s="17">
        <f t="shared" si="0"/>
        <v>470298.4</v>
      </c>
      <c r="F43" s="17"/>
      <c r="G43" s="17"/>
      <c r="H43" s="26">
        <f t="shared" si="1"/>
        <v>470298.4</v>
      </c>
      <c r="I43" s="17"/>
      <c r="J43" s="1"/>
    </row>
    <row r="44" spans="1:10" x14ac:dyDescent="0.25">
      <c r="A44" s="43">
        <f t="shared" si="2"/>
        <v>28</v>
      </c>
      <c r="B44" s="132" t="s">
        <v>296</v>
      </c>
      <c r="C44" s="43">
        <v>2001</v>
      </c>
      <c r="D44" s="17">
        <v>319622.65000000002</v>
      </c>
      <c r="E44" s="17">
        <f t="shared" si="0"/>
        <v>319622.65000000002</v>
      </c>
      <c r="F44" s="17"/>
      <c r="G44" s="17"/>
      <c r="H44" s="26">
        <f t="shared" si="1"/>
        <v>319622.65000000002</v>
      </c>
      <c r="I44" s="17"/>
      <c r="J44" s="1"/>
    </row>
    <row r="45" spans="1:10" x14ac:dyDescent="0.25">
      <c r="A45" s="43">
        <f t="shared" si="2"/>
        <v>29</v>
      </c>
      <c r="B45" s="132" t="s">
        <v>297</v>
      </c>
      <c r="C45" s="43">
        <v>2001</v>
      </c>
      <c r="D45" s="17">
        <v>648587.46000000008</v>
      </c>
      <c r="E45" s="17">
        <f t="shared" si="0"/>
        <v>648587.46000000008</v>
      </c>
      <c r="F45" s="17"/>
      <c r="G45" s="17"/>
      <c r="H45" s="26">
        <f t="shared" si="1"/>
        <v>648587.46000000008</v>
      </c>
      <c r="I45" s="17"/>
      <c r="J45" s="1"/>
    </row>
    <row r="46" spans="1:10" x14ac:dyDescent="0.25">
      <c r="A46" s="43">
        <f t="shared" si="2"/>
        <v>30</v>
      </c>
      <c r="B46" s="132" t="s">
        <v>298</v>
      </c>
      <c r="C46" s="43">
        <v>2001</v>
      </c>
      <c r="D46" s="17">
        <v>657436.78</v>
      </c>
      <c r="E46" s="17">
        <f t="shared" si="0"/>
        <v>657436.78</v>
      </c>
      <c r="F46" s="17"/>
      <c r="G46" s="17"/>
      <c r="H46" s="26">
        <f t="shared" si="1"/>
        <v>657436.78</v>
      </c>
      <c r="I46" s="17"/>
      <c r="J46" s="1"/>
    </row>
    <row r="47" spans="1:10" x14ac:dyDescent="0.25">
      <c r="A47" s="43">
        <f t="shared" si="2"/>
        <v>31</v>
      </c>
      <c r="B47" s="132" t="s">
        <v>299</v>
      </c>
      <c r="C47" s="43">
        <v>2001</v>
      </c>
      <c r="D47" s="17">
        <v>657436.78</v>
      </c>
      <c r="E47" s="17">
        <f t="shared" si="0"/>
        <v>657436.78</v>
      </c>
      <c r="F47" s="17"/>
      <c r="G47" s="17"/>
      <c r="H47" s="26">
        <f t="shared" si="1"/>
        <v>657436.78</v>
      </c>
      <c r="I47" s="17"/>
      <c r="J47" s="1"/>
    </row>
    <row r="48" spans="1:10" x14ac:dyDescent="0.25">
      <c r="A48" s="43">
        <f t="shared" si="2"/>
        <v>32</v>
      </c>
      <c r="B48" s="132" t="s">
        <v>299</v>
      </c>
      <c r="C48" s="43">
        <v>2001</v>
      </c>
      <c r="D48" s="17">
        <v>112530.6</v>
      </c>
      <c r="E48" s="17">
        <f t="shared" si="0"/>
        <v>112530.6</v>
      </c>
      <c r="F48" s="17"/>
      <c r="G48" s="17"/>
      <c r="H48" s="26">
        <f t="shared" si="1"/>
        <v>112530.6</v>
      </c>
      <c r="I48" s="17"/>
      <c r="J48" s="1"/>
    </row>
    <row r="49" spans="1:10" x14ac:dyDescent="0.25">
      <c r="A49" s="43">
        <f t="shared" si="2"/>
        <v>33</v>
      </c>
      <c r="B49" s="132" t="s">
        <v>300</v>
      </c>
      <c r="C49" s="43">
        <v>2001</v>
      </c>
      <c r="D49" s="17">
        <v>564446.96000000008</v>
      </c>
      <c r="E49" s="17">
        <f t="shared" si="0"/>
        <v>564446.96000000008</v>
      </c>
      <c r="F49" s="17"/>
      <c r="G49" s="17"/>
      <c r="H49" s="26">
        <f t="shared" ref="H49:H55" si="3">D49</f>
        <v>564446.96000000008</v>
      </c>
      <c r="I49" s="17"/>
      <c r="J49" s="1"/>
    </row>
    <row r="50" spans="1:10" x14ac:dyDescent="0.25">
      <c r="A50" s="43">
        <f t="shared" si="2"/>
        <v>34</v>
      </c>
      <c r="B50" s="132" t="s">
        <v>289</v>
      </c>
      <c r="C50" s="43">
        <v>2001</v>
      </c>
      <c r="D50" s="17">
        <v>704751.57000000007</v>
      </c>
      <c r="E50" s="17">
        <f t="shared" si="0"/>
        <v>704751.57000000007</v>
      </c>
      <c r="F50" s="17"/>
      <c r="G50" s="17"/>
      <c r="H50" s="26">
        <f t="shared" si="3"/>
        <v>704751.57000000007</v>
      </c>
      <c r="I50" s="17"/>
      <c r="J50" s="1"/>
    </row>
    <row r="51" spans="1:10" x14ac:dyDescent="0.25">
      <c r="A51" s="43">
        <f t="shared" si="2"/>
        <v>35</v>
      </c>
      <c r="B51" s="132" t="s">
        <v>290</v>
      </c>
      <c r="C51" s="43">
        <v>2001</v>
      </c>
      <c r="D51" s="17">
        <v>820266.15</v>
      </c>
      <c r="E51" s="17">
        <f t="shared" si="0"/>
        <v>820266.15</v>
      </c>
      <c r="F51" s="17"/>
      <c r="G51" s="17"/>
      <c r="H51" s="26">
        <f t="shared" si="3"/>
        <v>820266.15</v>
      </c>
      <c r="I51" s="17"/>
      <c r="J51" s="1"/>
    </row>
    <row r="52" spans="1:10" x14ac:dyDescent="0.25">
      <c r="A52" s="43">
        <f t="shared" si="2"/>
        <v>36</v>
      </c>
      <c r="B52" s="132" t="s">
        <v>291</v>
      </c>
      <c r="C52" s="43">
        <v>2001</v>
      </c>
      <c r="D52" s="17">
        <v>-58633.520000000004</v>
      </c>
      <c r="E52" s="17">
        <f t="shared" si="0"/>
        <v>-58633.520000000004</v>
      </c>
      <c r="F52" s="17"/>
      <c r="G52" s="17"/>
      <c r="H52" s="26">
        <f t="shared" si="3"/>
        <v>-58633.520000000004</v>
      </c>
      <c r="I52" s="17"/>
      <c r="J52" s="1"/>
    </row>
    <row r="53" spans="1:10" x14ac:dyDescent="0.25">
      <c r="A53" s="43">
        <f t="shared" si="2"/>
        <v>37</v>
      </c>
      <c r="B53" s="132" t="s">
        <v>292</v>
      </c>
      <c r="C53" s="43">
        <v>2001</v>
      </c>
      <c r="D53" s="17">
        <v>4211.92</v>
      </c>
      <c r="E53" s="17">
        <f t="shared" si="0"/>
        <v>4211.92</v>
      </c>
      <c r="F53" s="17"/>
      <c r="G53" s="17"/>
      <c r="H53" s="26">
        <f t="shared" si="3"/>
        <v>4211.92</v>
      </c>
      <c r="I53" s="17"/>
      <c r="J53" s="1"/>
    </row>
    <row r="54" spans="1:10" x14ac:dyDescent="0.25">
      <c r="A54" s="43">
        <f t="shared" si="2"/>
        <v>38</v>
      </c>
      <c r="B54" s="132" t="s">
        <v>293</v>
      </c>
      <c r="C54" s="43">
        <v>2001</v>
      </c>
      <c r="D54" s="17">
        <v>354016.29</v>
      </c>
      <c r="E54" s="17">
        <f t="shared" si="0"/>
        <v>354016.29</v>
      </c>
      <c r="F54" s="17"/>
      <c r="G54" s="17"/>
      <c r="H54" s="26">
        <f t="shared" si="3"/>
        <v>354016.29</v>
      </c>
      <c r="I54" s="17"/>
      <c r="J54" s="1"/>
    </row>
    <row r="55" spans="1:10" x14ac:dyDescent="0.25">
      <c r="A55" s="43">
        <f t="shared" si="2"/>
        <v>39</v>
      </c>
      <c r="B55" s="132" t="s">
        <v>294</v>
      </c>
      <c r="C55" s="43">
        <v>2001</v>
      </c>
      <c r="D55" s="17">
        <v>923872.94000000006</v>
      </c>
      <c r="E55" s="17">
        <f t="shared" si="0"/>
        <v>923872.94000000006</v>
      </c>
      <c r="F55" s="17"/>
      <c r="G55" s="17"/>
      <c r="H55" s="26">
        <f t="shared" si="3"/>
        <v>923872.94000000006</v>
      </c>
      <c r="I55" s="17"/>
      <c r="J55" s="1"/>
    </row>
    <row r="56" spans="1:10" x14ac:dyDescent="0.25">
      <c r="A56" s="43">
        <f t="shared" si="2"/>
        <v>40</v>
      </c>
      <c r="B56" s="132" t="s">
        <v>295</v>
      </c>
      <c r="C56" s="43">
        <v>2002</v>
      </c>
      <c r="D56" s="17">
        <v>950628.74</v>
      </c>
      <c r="E56" s="17">
        <f t="shared" si="0"/>
        <v>950628.74</v>
      </c>
      <c r="F56" s="17"/>
      <c r="G56" s="17"/>
      <c r="H56" s="26">
        <f t="shared" si="1"/>
        <v>950628.74</v>
      </c>
      <c r="I56" s="17"/>
      <c r="J56" s="1"/>
    </row>
    <row r="57" spans="1:10" x14ac:dyDescent="0.25">
      <c r="A57" s="43">
        <f t="shared" si="2"/>
        <v>41</v>
      </c>
      <c r="B57" s="132" t="s">
        <v>296</v>
      </c>
      <c r="C57" s="43">
        <v>2002</v>
      </c>
      <c r="D57" s="17">
        <v>991401.45000000007</v>
      </c>
      <c r="E57" s="17">
        <f t="shared" si="0"/>
        <v>991401.45000000007</v>
      </c>
      <c r="F57" s="17"/>
      <c r="G57" s="17"/>
      <c r="H57" s="26">
        <f t="shared" si="1"/>
        <v>991401.45000000007</v>
      </c>
      <c r="I57" s="17"/>
      <c r="J57" s="1"/>
    </row>
    <row r="58" spans="1:10" x14ac:dyDescent="0.25">
      <c r="A58" s="43">
        <f t="shared" si="2"/>
        <v>42</v>
      </c>
      <c r="B58" s="132" t="s">
        <v>297</v>
      </c>
      <c r="C58" s="43">
        <v>2002</v>
      </c>
      <c r="D58" s="17">
        <v>997903.87</v>
      </c>
      <c r="E58" s="17">
        <f t="shared" si="0"/>
        <v>997903.87</v>
      </c>
      <c r="F58" s="17"/>
      <c r="G58" s="17"/>
      <c r="H58" s="26">
        <f t="shared" si="1"/>
        <v>997903.87</v>
      </c>
      <c r="I58" s="17"/>
      <c r="J58" s="1"/>
    </row>
    <row r="59" spans="1:10" x14ac:dyDescent="0.25">
      <c r="A59" s="43">
        <f t="shared" si="2"/>
        <v>43</v>
      </c>
      <c r="B59" s="132" t="s">
        <v>298</v>
      </c>
      <c r="C59" s="43">
        <v>2002</v>
      </c>
      <c r="D59" s="17">
        <v>965310.04</v>
      </c>
      <c r="E59" s="17">
        <f t="shared" si="0"/>
        <v>965310.04</v>
      </c>
      <c r="F59" s="17"/>
      <c r="G59" s="17"/>
      <c r="H59" s="26">
        <f t="shared" si="1"/>
        <v>965310.04</v>
      </c>
      <c r="I59" s="17"/>
      <c r="J59" s="1"/>
    </row>
    <row r="60" spans="1:10" x14ac:dyDescent="0.25">
      <c r="A60" s="43">
        <f t="shared" si="2"/>
        <v>44</v>
      </c>
      <c r="B60" s="132" t="s">
        <v>299</v>
      </c>
      <c r="C60" s="43">
        <v>2002</v>
      </c>
      <c r="D60" s="17">
        <v>1104643.05</v>
      </c>
      <c r="E60" s="17">
        <f t="shared" si="0"/>
        <v>1104643.05</v>
      </c>
      <c r="F60" s="17"/>
      <c r="G60" s="17"/>
      <c r="H60" s="26">
        <f t="shared" si="1"/>
        <v>1104643.05</v>
      </c>
      <c r="I60" s="17"/>
      <c r="J60" s="1"/>
    </row>
    <row r="61" spans="1:10" x14ac:dyDescent="0.25">
      <c r="A61" s="43">
        <f t="shared" si="2"/>
        <v>45</v>
      </c>
      <c r="B61" s="132" t="s">
        <v>300</v>
      </c>
      <c r="C61" s="43">
        <v>2002</v>
      </c>
      <c r="D61" s="17">
        <v>1086677.8400000001</v>
      </c>
      <c r="E61" s="17">
        <f t="shared" si="0"/>
        <v>1086677.8400000001</v>
      </c>
      <c r="F61" s="17"/>
      <c r="G61" s="17"/>
      <c r="H61" s="26">
        <f t="shared" si="1"/>
        <v>1086677.8400000001</v>
      </c>
      <c r="I61" s="17"/>
      <c r="J61" s="1"/>
    </row>
    <row r="62" spans="1:10" x14ac:dyDescent="0.25">
      <c r="A62" s="43">
        <f t="shared" si="2"/>
        <v>46</v>
      </c>
      <c r="B62" s="132" t="s">
        <v>289</v>
      </c>
      <c r="C62" s="43">
        <v>2002</v>
      </c>
      <c r="D62" s="17">
        <v>1020707.9800000002</v>
      </c>
      <c r="E62" s="17">
        <f t="shared" si="0"/>
        <v>1020707.9800000002</v>
      </c>
      <c r="F62" s="17"/>
      <c r="G62" s="17"/>
      <c r="H62" s="26">
        <f t="shared" si="1"/>
        <v>1020707.9800000002</v>
      </c>
      <c r="I62" s="17"/>
      <c r="J62" s="1"/>
    </row>
    <row r="63" spans="1:10" x14ac:dyDescent="0.25">
      <c r="A63" s="43">
        <f t="shared" si="2"/>
        <v>47</v>
      </c>
      <c r="B63" s="132" t="s">
        <v>290</v>
      </c>
      <c r="C63" s="43">
        <v>2002</v>
      </c>
      <c r="D63" s="17">
        <v>1054137.83</v>
      </c>
      <c r="E63" s="17">
        <f t="shared" si="0"/>
        <v>1054137.83</v>
      </c>
      <c r="F63" s="17"/>
      <c r="G63" s="17"/>
      <c r="H63" s="26">
        <f t="shared" si="1"/>
        <v>1054137.83</v>
      </c>
      <c r="I63" s="17"/>
      <c r="J63" s="1"/>
    </row>
    <row r="64" spans="1:10" x14ac:dyDescent="0.25">
      <c r="A64" s="43">
        <f t="shared" si="2"/>
        <v>48</v>
      </c>
      <c r="B64" s="132" t="s">
        <v>291</v>
      </c>
      <c r="C64" s="43">
        <v>2002</v>
      </c>
      <c r="D64" s="17">
        <v>1128591.54</v>
      </c>
      <c r="E64" s="17">
        <f t="shared" si="0"/>
        <v>1128591.54</v>
      </c>
      <c r="F64" s="17"/>
      <c r="G64" s="17"/>
      <c r="H64" s="26">
        <f t="shared" si="1"/>
        <v>1128591.54</v>
      </c>
      <c r="I64" s="17"/>
      <c r="J64" s="1"/>
    </row>
    <row r="65" spans="1:10" x14ac:dyDescent="0.25">
      <c r="A65" s="43">
        <f t="shared" si="2"/>
        <v>49</v>
      </c>
      <c r="B65" s="132" t="s">
        <v>292</v>
      </c>
      <c r="C65" s="43">
        <v>2002</v>
      </c>
      <c r="D65" s="17">
        <v>1046304.0800000001</v>
      </c>
      <c r="E65" s="17">
        <f t="shared" si="0"/>
        <v>1046304.0800000001</v>
      </c>
      <c r="F65" s="17"/>
      <c r="G65" s="17"/>
      <c r="H65" s="26">
        <f t="shared" si="1"/>
        <v>1046304.0800000001</v>
      </c>
      <c r="I65" s="17"/>
      <c r="J65" s="1"/>
    </row>
    <row r="66" spans="1:10" x14ac:dyDescent="0.25">
      <c r="A66" s="43">
        <f t="shared" si="2"/>
        <v>50</v>
      </c>
      <c r="B66" s="132" t="s">
        <v>293</v>
      </c>
      <c r="C66" s="43">
        <v>2002</v>
      </c>
      <c r="D66" s="17">
        <v>1126399.7</v>
      </c>
      <c r="E66" s="17">
        <f t="shared" si="0"/>
        <v>1126399.7</v>
      </c>
      <c r="F66" s="17"/>
      <c r="G66" s="17"/>
      <c r="H66" s="26">
        <f t="shared" si="1"/>
        <v>1126399.7</v>
      </c>
      <c r="I66" s="17"/>
      <c r="J66" s="1"/>
    </row>
    <row r="67" spans="1:10" x14ac:dyDescent="0.25">
      <c r="A67" s="43">
        <f t="shared" si="2"/>
        <v>51</v>
      </c>
      <c r="B67" s="132" t="s">
        <v>294</v>
      </c>
      <c r="C67" s="43">
        <v>2002</v>
      </c>
      <c r="D67" s="17">
        <v>1104355.3</v>
      </c>
      <c r="E67" s="17">
        <f t="shared" si="0"/>
        <v>1104355.3</v>
      </c>
      <c r="F67" s="17"/>
      <c r="G67" s="17"/>
      <c r="H67" s="26">
        <f t="shared" si="1"/>
        <v>1104355.3</v>
      </c>
      <c r="I67" s="17"/>
      <c r="J67" s="1"/>
    </row>
    <row r="68" spans="1:10" x14ac:dyDescent="0.25">
      <c r="A68" s="43">
        <f t="shared" si="2"/>
        <v>52</v>
      </c>
      <c r="B68" s="132" t="s">
        <v>295</v>
      </c>
      <c r="C68" s="43">
        <v>2003</v>
      </c>
      <c r="D68" s="17">
        <v>1141587.24</v>
      </c>
      <c r="E68" s="17">
        <f t="shared" si="0"/>
        <v>1141587.24</v>
      </c>
      <c r="F68" s="17"/>
      <c r="G68" s="17"/>
      <c r="H68" s="26">
        <f t="shared" si="1"/>
        <v>1141587.24</v>
      </c>
      <c r="I68" s="17"/>
      <c r="J68" s="1"/>
    </row>
    <row r="69" spans="1:10" x14ac:dyDescent="0.25">
      <c r="A69" s="43">
        <f t="shared" si="2"/>
        <v>53</v>
      </c>
      <c r="B69" s="132" t="s">
        <v>296</v>
      </c>
      <c r="C69" s="43">
        <v>2003</v>
      </c>
      <c r="D69" s="17">
        <v>1027817.5800000001</v>
      </c>
      <c r="E69" s="17">
        <f t="shared" si="0"/>
        <v>1027817.5800000001</v>
      </c>
      <c r="F69" s="17"/>
      <c r="G69" s="17"/>
      <c r="H69" s="26">
        <f t="shared" si="1"/>
        <v>1027817.5800000001</v>
      </c>
      <c r="I69" s="17"/>
      <c r="J69" s="1"/>
    </row>
    <row r="70" spans="1:10" x14ac:dyDescent="0.25">
      <c r="A70" s="43">
        <f t="shared" si="2"/>
        <v>54</v>
      </c>
      <c r="B70" s="132" t="s">
        <v>297</v>
      </c>
      <c r="C70" s="43">
        <v>2003</v>
      </c>
      <c r="D70" s="17">
        <v>1078907.07</v>
      </c>
      <c r="E70" s="17">
        <f t="shared" si="0"/>
        <v>1078907.07</v>
      </c>
      <c r="F70" s="17"/>
      <c r="G70" s="17"/>
      <c r="H70" s="26">
        <f t="shared" si="1"/>
        <v>1078907.07</v>
      </c>
      <c r="I70" s="17"/>
      <c r="J70" s="1"/>
    </row>
    <row r="71" spans="1:10" x14ac:dyDescent="0.25">
      <c r="A71" s="43">
        <f t="shared" si="2"/>
        <v>55</v>
      </c>
      <c r="B71" s="132" t="s">
        <v>298</v>
      </c>
      <c r="C71" s="43">
        <v>2003</v>
      </c>
      <c r="D71" s="17">
        <v>1084698.57</v>
      </c>
      <c r="E71" s="17">
        <f t="shared" si="0"/>
        <v>1084698.57</v>
      </c>
      <c r="F71" s="17"/>
      <c r="G71" s="17"/>
      <c r="H71" s="26">
        <f t="shared" si="1"/>
        <v>1084698.57</v>
      </c>
      <c r="I71" s="17"/>
      <c r="J71" s="1"/>
    </row>
    <row r="72" spans="1:10" x14ac:dyDescent="0.25">
      <c r="A72" s="43">
        <f t="shared" si="2"/>
        <v>56</v>
      </c>
      <c r="B72" s="132" t="s">
        <v>299</v>
      </c>
      <c r="C72" s="43">
        <v>2003</v>
      </c>
      <c r="D72" s="17">
        <v>1109778.33</v>
      </c>
      <c r="E72" s="17">
        <f t="shared" si="0"/>
        <v>1109778.33</v>
      </c>
      <c r="F72" s="17"/>
      <c r="G72" s="17"/>
      <c r="H72" s="26">
        <f t="shared" si="1"/>
        <v>1109778.33</v>
      </c>
      <c r="I72" s="17"/>
      <c r="J72" s="1"/>
    </row>
    <row r="73" spans="1:10" x14ac:dyDescent="0.25">
      <c r="A73" s="43">
        <f t="shared" si="2"/>
        <v>57</v>
      </c>
      <c r="B73" s="132" t="s">
        <v>300</v>
      </c>
      <c r="C73" s="43">
        <v>2003</v>
      </c>
      <c r="D73" s="17">
        <v>941616.28</v>
      </c>
      <c r="E73" s="17">
        <f t="shared" si="0"/>
        <v>941616.28</v>
      </c>
      <c r="F73" s="17"/>
      <c r="G73" s="17"/>
      <c r="H73" s="26">
        <f t="shared" si="1"/>
        <v>941616.28</v>
      </c>
      <c r="I73" s="17"/>
      <c r="J73" s="1"/>
    </row>
    <row r="74" spans="1:10" x14ac:dyDescent="0.25">
      <c r="A74" s="43">
        <f t="shared" si="2"/>
        <v>58</v>
      </c>
      <c r="B74" s="132" t="s">
        <v>289</v>
      </c>
      <c r="C74" s="43">
        <v>2003</v>
      </c>
      <c r="D74" s="17">
        <v>959426.10000000021</v>
      </c>
      <c r="E74" s="17">
        <f t="shared" si="0"/>
        <v>959426.10000000021</v>
      </c>
      <c r="F74" s="17"/>
      <c r="G74" s="17"/>
      <c r="H74" s="26">
        <f t="shared" si="1"/>
        <v>959426.10000000021</v>
      </c>
      <c r="I74" s="17"/>
      <c r="J74" s="1"/>
    </row>
    <row r="75" spans="1:10" x14ac:dyDescent="0.25">
      <c r="A75" s="43">
        <f t="shared" si="2"/>
        <v>59</v>
      </c>
      <c r="B75" s="132" t="s">
        <v>290</v>
      </c>
      <c r="C75" s="43">
        <v>2003</v>
      </c>
      <c r="D75" s="17">
        <v>1054121.6100000001</v>
      </c>
      <c r="E75" s="17">
        <f t="shared" si="0"/>
        <v>1054121.6100000001</v>
      </c>
      <c r="F75" s="17"/>
      <c r="G75" s="17"/>
      <c r="H75" s="26">
        <f t="shared" si="1"/>
        <v>1054121.6100000001</v>
      </c>
      <c r="I75" s="17"/>
      <c r="J75" s="1"/>
    </row>
    <row r="76" spans="1:10" x14ac:dyDescent="0.25">
      <c r="A76" s="43">
        <f t="shared" si="2"/>
        <v>60</v>
      </c>
      <c r="B76" s="132" t="s">
        <v>291</v>
      </c>
      <c r="C76" s="43">
        <v>2003</v>
      </c>
      <c r="D76" s="17">
        <v>1000051.8600000002</v>
      </c>
      <c r="E76" s="17">
        <f t="shared" si="0"/>
        <v>1000051.8600000002</v>
      </c>
      <c r="F76" s="17"/>
      <c r="G76" s="17"/>
      <c r="H76" s="26">
        <f t="shared" si="1"/>
        <v>1000051.8600000002</v>
      </c>
      <c r="I76" s="17"/>
      <c r="J76" s="1"/>
    </row>
    <row r="77" spans="1:10" x14ac:dyDescent="0.25">
      <c r="A77" s="43">
        <f t="shared" si="2"/>
        <v>61</v>
      </c>
      <c r="B77" s="132" t="s">
        <v>292</v>
      </c>
      <c r="C77" s="43">
        <v>2003</v>
      </c>
      <c r="D77" s="17">
        <v>1039760.2000000001</v>
      </c>
      <c r="E77" s="17">
        <f t="shared" si="0"/>
        <v>1039760.2000000001</v>
      </c>
      <c r="F77" s="17"/>
      <c r="G77" s="17"/>
      <c r="H77" s="26">
        <f t="shared" si="1"/>
        <v>1039760.2000000001</v>
      </c>
      <c r="I77" s="17"/>
      <c r="J77" s="1"/>
    </row>
    <row r="78" spans="1:10" x14ac:dyDescent="0.25">
      <c r="A78" s="43">
        <f t="shared" si="2"/>
        <v>62</v>
      </c>
      <c r="B78" s="132" t="s">
        <v>293</v>
      </c>
      <c r="C78" s="43">
        <v>2003</v>
      </c>
      <c r="D78" s="17">
        <v>1038863.42</v>
      </c>
      <c r="E78" s="17">
        <f t="shared" si="0"/>
        <v>1038863.42</v>
      </c>
      <c r="F78" s="17"/>
      <c r="G78" s="17"/>
      <c r="H78" s="26">
        <f t="shared" si="1"/>
        <v>1038863.42</v>
      </c>
      <c r="I78" s="17"/>
      <c r="J78" s="1"/>
    </row>
    <row r="79" spans="1:10" x14ac:dyDescent="0.25">
      <c r="A79" s="43">
        <f t="shared" si="2"/>
        <v>63</v>
      </c>
      <c r="B79" s="132" t="s">
        <v>294</v>
      </c>
      <c r="C79" s="43">
        <v>2003</v>
      </c>
      <c r="D79" s="17">
        <v>1025505.29</v>
      </c>
      <c r="E79" s="17">
        <f t="shared" si="0"/>
        <v>1025505.29</v>
      </c>
      <c r="F79" s="17"/>
      <c r="G79" s="17"/>
      <c r="H79" s="26">
        <f t="shared" si="1"/>
        <v>1025505.29</v>
      </c>
      <c r="I79" s="17"/>
      <c r="J79" s="1"/>
    </row>
    <row r="80" spans="1:10" x14ac:dyDescent="0.25">
      <c r="A80" s="43">
        <f t="shared" si="2"/>
        <v>64</v>
      </c>
      <c r="B80" s="132" t="s">
        <v>295</v>
      </c>
      <c r="C80" s="43">
        <v>2004</v>
      </c>
      <c r="D80" s="17">
        <v>905891.31</v>
      </c>
      <c r="E80" s="17">
        <f t="shared" si="0"/>
        <v>905891.31</v>
      </c>
      <c r="F80" s="17"/>
      <c r="G80" s="17"/>
      <c r="H80" s="26">
        <f t="shared" si="1"/>
        <v>905891.31</v>
      </c>
      <c r="I80" s="17"/>
      <c r="J80" s="1"/>
    </row>
    <row r="81" spans="1:10" x14ac:dyDescent="0.25">
      <c r="A81" s="43">
        <f t="shared" si="2"/>
        <v>65</v>
      </c>
      <c r="B81" s="132" t="s">
        <v>296</v>
      </c>
      <c r="C81" s="43">
        <v>2004</v>
      </c>
      <c r="D81" s="17">
        <v>551937.57000000007</v>
      </c>
      <c r="E81" s="17">
        <f t="shared" si="0"/>
        <v>551937.57000000007</v>
      </c>
      <c r="F81" s="17"/>
      <c r="G81" s="17"/>
      <c r="H81" s="26">
        <f t="shared" si="1"/>
        <v>551937.57000000007</v>
      </c>
      <c r="I81" s="17"/>
      <c r="J81" s="1"/>
    </row>
    <row r="82" spans="1:10" x14ac:dyDescent="0.25">
      <c r="A82" s="43">
        <f t="shared" si="2"/>
        <v>66</v>
      </c>
      <c r="B82" s="132" t="s">
        <v>297</v>
      </c>
      <c r="C82" s="43">
        <v>2004</v>
      </c>
      <c r="D82" s="17">
        <v>1009176.1100000002</v>
      </c>
      <c r="E82" s="17">
        <f t="shared" si="0"/>
        <v>1009176.1100000002</v>
      </c>
      <c r="F82" s="17"/>
      <c r="G82" s="17"/>
      <c r="H82" s="26">
        <f t="shared" si="1"/>
        <v>1009176.1100000002</v>
      </c>
      <c r="I82" s="17"/>
      <c r="J82" s="1"/>
    </row>
    <row r="83" spans="1:10" x14ac:dyDescent="0.25">
      <c r="A83" s="43">
        <f t="shared" si="2"/>
        <v>67</v>
      </c>
      <c r="B83" s="132" t="s">
        <v>298</v>
      </c>
      <c r="C83" s="43">
        <v>2004</v>
      </c>
      <c r="D83" s="17">
        <v>1178064.1800000002</v>
      </c>
      <c r="E83" s="17">
        <f t="shared" ref="E83:E146" si="4">D83</f>
        <v>1178064.1800000002</v>
      </c>
      <c r="F83" s="17"/>
      <c r="G83" s="17"/>
      <c r="H83" s="26">
        <f t="shared" si="1"/>
        <v>1178064.1800000002</v>
      </c>
      <c r="I83" s="17"/>
      <c r="J83" s="1"/>
    </row>
    <row r="84" spans="1:10" x14ac:dyDescent="0.25">
      <c r="A84" s="43">
        <f t="shared" ref="A84:A147" si="5">A83+1</f>
        <v>68</v>
      </c>
      <c r="B84" s="132" t="s">
        <v>299</v>
      </c>
      <c r="C84" s="43">
        <v>2004</v>
      </c>
      <c r="D84" s="17">
        <v>1029890.6000000002</v>
      </c>
      <c r="E84" s="17">
        <f t="shared" si="4"/>
        <v>1029890.6000000002</v>
      </c>
      <c r="F84" s="17"/>
      <c r="G84" s="17"/>
      <c r="H84" s="26">
        <f t="shared" si="1"/>
        <v>1029890.6000000002</v>
      </c>
      <c r="I84" s="17"/>
      <c r="J84" s="1"/>
    </row>
    <row r="85" spans="1:10" x14ac:dyDescent="0.25">
      <c r="A85" s="43">
        <f t="shared" si="5"/>
        <v>69</v>
      </c>
      <c r="B85" s="132" t="s">
        <v>300</v>
      </c>
      <c r="C85" s="43">
        <v>2004</v>
      </c>
      <c r="D85" s="17">
        <v>991602.66</v>
      </c>
      <c r="E85" s="17">
        <f t="shared" si="4"/>
        <v>991602.66</v>
      </c>
      <c r="F85" s="17"/>
      <c r="G85" s="17"/>
      <c r="H85" s="26">
        <f t="shared" si="1"/>
        <v>991602.66</v>
      </c>
      <c r="I85" s="17"/>
      <c r="J85" s="1"/>
    </row>
    <row r="86" spans="1:10" x14ac:dyDescent="0.25">
      <c r="A86" s="43">
        <f t="shared" si="5"/>
        <v>70</v>
      </c>
      <c r="B86" s="132" t="s">
        <v>289</v>
      </c>
      <c r="C86" s="43">
        <v>2004</v>
      </c>
      <c r="D86" s="17">
        <v>1124215.74</v>
      </c>
      <c r="E86" s="17">
        <f t="shared" si="4"/>
        <v>1124215.74</v>
      </c>
      <c r="F86" s="17"/>
      <c r="G86" s="17"/>
      <c r="H86" s="26">
        <f t="shared" si="1"/>
        <v>1124215.74</v>
      </c>
      <c r="I86" s="17"/>
      <c r="J86" s="1"/>
    </row>
    <row r="87" spans="1:10" x14ac:dyDescent="0.25">
      <c r="A87" s="43">
        <f t="shared" si="5"/>
        <v>71</v>
      </c>
      <c r="B87" s="132" t="s">
        <v>290</v>
      </c>
      <c r="C87" s="43">
        <v>2004</v>
      </c>
      <c r="D87" s="17">
        <v>1035409.15</v>
      </c>
      <c r="E87" s="17">
        <f t="shared" si="4"/>
        <v>1035409.15</v>
      </c>
      <c r="F87" s="17"/>
      <c r="G87" s="17"/>
      <c r="H87" s="26">
        <f t="shared" si="1"/>
        <v>1035409.15</v>
      </c>
      <c r="I87" s="17"/>
      <c r="J87" s="1"/>
    </row>
    <row r="88" spans="1:10" x14ac:dyDescent="0.25">
      <c r="A88" s="43">
        <f t="shared" si="5"/>
        <v>72</v>
      </c>
      <c r="B88" s="132" t="s">
        <v>291</v>
      </c>
      <c r="C88" s="43">
        <v>2004</v>
      </c>
      <c r="D88" s="17">
        <v>1084676.72</v>
      </c>
      <c r="E88" s="17">
        <f t="shared" si="4"/>
        <v>1084676.72</v>
      </c>
      <c r="F88" s="17"/>
      <c r="G88" s="17"/>
      <c r="H88" s="26">
        <f t="shared" si="1"/>
        <v>1084676.72</v>
      </c>
      <c r="I88" s="17"/>
      <c r="J88" s="1"/>
    </row>
    <row r="89" spans="1:10" x14ac:dyDescent="0.25">
      <c r="A89" s="43">
        <f t="shared" si="5"/>
        <v>73</v>
      </c>
      <c r="B89" s="132" t="s">
        <v>292</v>
      </c>
      <c r="C89" s="43">
        <v>2004</v>
      </c>
      <c r="D89" s="17">
        <v>1143259.58</v>
      </c>
      <c r="E89" s="17">
        <f t="shared" si="4"/>
        <v>1143259.58</v>
      </c>
      <c r="F89" s="17"/>
      <c r="G89" s="17"/>
      <c r="H89" s="26">
        <f t="shared" si="1"/>
        <v>1143259.58</v>
      </c>
      <c r="I89" s="17"/>
      <c r="J89" s="1"/>
    </row>
    <row r="90" spans="1:10" x14ac:dyDescent="0.25">
      <c r="A90" s="43">
        <f t="shared" si="5"/>
        <v>74</v>
      </c>
      <c r="B90" s="132" t="s">
        <v>293</v>
      </c>
      <c r="C90" s="43">
        <v>2004</v>
      </c>
      <c r="D90" s="17">
        <v>1134642.82</v>
      </c>
      <c r="E90" s="17">
        <f t="shared" si="4"/>
        <v>1134642.82</v>
      </c>
      <c r="F90" s="17"/>
      <c r="G90" s="17"/>
      <c r="H90" s="26">
        <f t="shared" si="1"/>
        <v>1134642.82</v>
      </c>
      <c r="I90" s="17"/>
      <c r="J90" s="1"/>
    </row>
    <row r="91" spans="1:10" x14ac:dyDescent="0.25">
      <c r="A91" s="43">
        <f t="shared" si="5"/>
        <v>75</v>
      </c>
      <c r="B91" s="132" t="s">
        <v>294</v>
      </c>
      <c r="C91" s="43">
        <v>2004</v>
      </c>
      <c r="D91" s="17">
        <v>1185206.45</v>
      </c>
      <c r="E91" s="17">
        <f t="shared" si="4"/>
        <v>1185206.45</v>
      </c>
      <c r="F91" s="17"/>
      <c r="G91" s="17"/>
      <c r="H91" s="26">
        <f t="shared" si="1"/>
        <v>1185206.45</v>
      </c>
      <c r="I91" s="17"/>
      <c r="J91" s="1"/>
    </row>
    <row r="92" spans="1:10" x14ac:dyDescent="0.25">
      <c r="A92" s="43">
        <f t="shared" si="5"/>
        <v>76</v>
      </c>
      <c r="B92" s="132" t="s">
        <v>295</v>
      </c>
      <c r="C92" s="43">
        <v>2005</v>
      </c>
      <c r="D92" s="17">
        <v>1105175.3</v>
      </c>
      <c r="E92" s="17">
        <f t="shared" si="4"/>
        <v>1105175.3</v>
      </c>
      <c r="F92" s="17"/>
      <c r="G92" s="17"/>
      <c r="H92" s="26">
        <f t="shared" si="1"/>
        <v>1105175.3</v>
      </c>
      <c r="I92" s="17"/>
      <c r="J92" s="1"/>
    </row>
    <row r="93" spans="1:10" x14ac:dyDescent="0.25">
      <c r="A93" s="43">
        <f t="shared" si="5"/>
        <v>77</v>
      </c>
      <c r="B93" s="132" t="s">
        <v>296</v>
      </c>
      <c r="C93" s="43">
        <v>2005</v>
      </c>
      <c r="D93" s="17">
        <v>1048366</v>
      </c>
      <c r="E93" s="17">
        <f t="shared" si="4"/>
        <v>1048366</v>
      </c>
      <c r="F93" s="17"/>
      <c r="G93" s="17"/>
      <c r="H93" s="26">
        <f t="shared" si="1"/>
        <v>1048366</v>
      </c>
      <c r="I93" s="17"/>
      <c r="J93" s="1"/>
    </row>
    <row r="94" spans="1:10" x14ac:dyDescent="0.25">
      <c r="A94" s="43">
        <f t="shared" si="5"/>
        <v>78</v>
      </c>
      <c r="B94" s="132" t="s">
        <v>297</v>
      </c>
      <c r="C94" s="43">
        <v>2005</v>
      </c>
      <c r="D94" s="17">
        <v>1348637.01</v>
      </c>
      <c r="E94" s="17">
        <f t="shared" si="4"/>
        <v>1348637.01</v>
      </c>
      <c r="F94" s="17"/>
      <c r="G94" s="17"/>
      <c r="H94" s="26">
        <f t="shared" si="1"/>
        <v>1348637.01</v>
      </c>
      <c r="I94" s="17"/>
      <c r="J94" s="1"/>
    </row>
    <row r="95" spans="1:10" x14ac:dyDescent="0.25">
      <c r="A95" s="43">
        <f t="shared" si="5"/>
        <v>79</v>
      </c>
      <c r="B95" s="132" t="s">
        <v>298</v>
      </c>
      <c r="C95" s="43">
        <v>2005</v>
      </c>
      <c r="D95" s="17">
        <v>1318879.24</v>
      </c>
      <c r="E95" s="17">
        <f t="shared" si="4"/>
        <v>1318879.24</v>
      </c>
      <c r="F95" s="17"/>
      <c r="G95" s="17"/>
      <c r="H95" s="26">
        <f t="shared" si="1"/>
        <v>1318879.24</v>
      </c>
      <c r="I95" s="17"/>
      <c r="J95" s="1"/>
    </row>
    <row r="96" spans="1:10" x14ac:dyDescent="0.25">
      <c r="A96" s="43">
        <f t="shared" si="5"/>
        <v>80</v>
      </c>
      <c r="B96" s="132" t="s">
        <v>299</v>
      </c>
      <c r="C96" s="43">
        <v>2005</v>
      </c>
      <c r="D96" s="17">
        <v>1243268.3900000001</v>
      </c>
      <c r="E96" s="17">
        <f t="shared" si="4"/>
        <v>1243268.3900000001</v>
      </c>
      <c r="F96" s="17"/>
      <c r="G96" s="17"/>
      <c r="H96" s="26">
        <f t="shared" si="1"/>
        <v>1243268.3900000001</v>
      </c>
      <c r="I96" s="17"/>
      <c r="J96" s="1"/>
    </row>
    <row r="97" spans="1:10" x14ac:dyDescent="0.25">
      <c r="A97" s="43">
        <f t="shared" si="5"/>
        <v>81</v>
      </c>
      <c r="B97" s="132" t="s">
        <v>300</v>
      </c>
      <c r="C97" s="43">
        <v>2005</v>
      </c>
      <c r="D97" s="17">
        <v>1162022.75</v>
      </c>
      <c r="E97" s="17">
        <f t="shared" si="4"/>
        <v>1162022.75</v>
      </c>
      <c r="F97" s="17"/>
      <c r="G97" s="17"/>
      <c r="H97" s="26">
        <f t="shared" si="1"/>
        <v>1162022.75</v>
      </c>
      <c r="I97" s="17"/>
      <c r="J97" s="1"/>
    </row>
    <row r="98" spans="1:10" x14ac:dyDescent="0.25">
      <c r="A98" s="43">
        <f t="shared" si="5"/>
        <v>82</v>
      </c>
      <c r="B98" s="132" t="s">
        <v>289</v>
      </c>
      <c r="C98" s="43">
        <v>2005</v>
      </c>
      <c r="D98" s="17">
        <v>1118737.77</v>
      </c>
      <c r="E98" s="17">
        <f t="shared" si="4"/>
        <v>1118737.77</v>
      </c>
      <c r="F98" s="17"/>
      <c r="G98" s="17"/>
      <c r="H98" s="26">
        <f t="shared" si="1"/>
        <v>1118737.77</v>
      </c>
      <c r="I98" s="17"/>
      <c r="J98" s="1"/>
    </row>
    <row r="99" spans="1:10" x14ac:dyDescent="0.25">
      <c r="A99" s="43">
        <f t="shared" si="5"/>
        <v>83</v>
      </c>
      <c r="B99" s="132" t="s">
        <v>290</v>
      </c>
      <c r="C99" s="43">
        <v>2005</v>
      </c>
      <c r="D99" s="17">
        <v>1222785.4300000002</v>
      </c>
      <c r="E99" s="17">
        <f t="shared" si="4"/>
        <v>1222785.4300000002</v>
      </c>
      <c r="F99" s="17"/>
      <c r="G99" s="17"/>
      <c r="H99" s="26">
        <f t="shared" si="1"/>
        <v>1222785.4300000002</v>
      </c>
      <c r="I99" s="17"/>
      <c r="J99" s="1"/>
    </row>
    <row r="100" spans="1:10" x14ac:dyDescent="0.25">
      <c r="A100" s="43">
        <f t="shared" si="5"/>
        <v>84</v>
      </c>
      <c r="B100" s="132" t="s">
        <v>291</v>
      </c>
      <c r="C100" s="43">
        <v>2005</v>
      </c>
      <c r="D100" s="17">
        <v>1395439.74</v>
      </c>
      <c r="E100" s="17">
        <f t="shared" si="4"/>
        <v>1395439.74</v>
      </c>
      <c r="F100" s="17"/>
      <c r="G100" s="17"/>
      <c r="H100" s="26">
        <f t="shared" si="1"/>
        <v>1395439.74</v>
      </c>
      <c r="I100" s="17"/>
      <c r="J100" s="1"/>
    </row>
    <row r="101" spans="1:10" x14ac:dyDescent="0.25">
      <c r="A101" s="43">
        <f t="shared" si="5"/>
        <v>85</v>
      </c>
      <c r="B101" s="132" t="s">
        <v>292</v>
      </c>
      <c r="C101" s="43">
        <v>2005</v>
      </c>
      <c r="D101" s="17">
        <v>1272902.6700000002</v>
      </c>
      <c r="E101" s="17">
        <f t="shared" si="4"/>
        <v>1272902.6700000002</v>
      </c>
      <c r="F101" s="17"/>
      <c r="G101" s="17"/>
      <c r="H101" s="26">
        <f t="shared" si="1"/>
        <v>1272902.6700000002</v>
      </c>
      <c r="I101" s="17"/>
      <c r="J101" s="1"/>
    </row>
    <row r="102" spans="1:10" x14ac:dyDescent="0.25">
      <c r="A102" s="43">
        <f t="shared" si="5"/>
        <v>86</v>
      </c>
      <c r="B102" s="132" t="s">
        <v>293</v>
      </c>
      <c r="C102" s="43">
        <v>2005</v>
      </c>
      <c r="D102" s="17">
        <v>1329953.29</v>
      </c>
      <c r="E102" s="17">
        <f t="shared" si="4"/>
        <v>1329953.29</v>
      </c>
      <c r="F102" s="17"/>
      <c r="G102" s="17"/>
      <c r="H102" s="26">
        <f t="shared" si="1"/>
        <v>1329953.29</v>
      </c>
      <c r="I102" s="17"/>
      <c r="J102" s="1"/>
    </row>
    <row r="103" spans="1:10" x14ac:dyDescent="0.25">
      <c r="A103" s="43">
        <f t="shared" si="5"/>
        <v>87</v>
      </c>
      <c r="B103" s="132" t="s">
        <v>294</v>
      </c>
      <c r="C103" s="43">
        <v>2005</v>
      </c>
      <c r="D103" s="17">
        <v>1250632.3700000001</v>
      </c>
      <c r="E103" s="17">
        <f t="shared" si="4"/>
        <v>1250632.3700000001</v>
      </c>
      <c r="F103" s="17"/>
      <c r="G103" s="17"/>
      <c r="H103" s="26">
        <f t="shared" si="1"/>
        <v>1250632.3700000001</v>
      </c>
      <c r="I103" s="17"/>
      <c r="J103" s="1"/>
    </row>
    <row r="104" spans="1:10" x14ac:dyDescent="0.25">
      <c r="A104" s="43">
        <f t="shared" si="5"/>
        <v>88</v>
      </c>
      <c r="B104" s="132" t="s">
        <v>295</v>
      </c>
      <c r="C104" s="43">
        <v>2006</v>
      </c>
      <c r="D104" s="17">
        <v>1151136.5</v>
      </c>
      <c r="E104" s="17">
        <f t="shared" si="4"/>
        <v>1151136.5</v>
      </c>
      <c r="F104" s="17"/>
      <c r="G104" s="17"/>
      <c r="H104" s="26">
        <f t="shared" si="1"/>
        <v>1151136.5</v>
      </c>
      <c r="I104" s="17"/>
      <c r="J104" s="1"/>
    </row>
    <row r="105" spans="1:10" x14ac:dyDescent="0.25">
      <c r="A105" s="43">
        <f t="shared" si="5"/>
        <v>89</v>
      </c>
      <c r="B105" s="132" t="s">
        <v>296</v>
      </c>
      <c r="C105" s="43">
        <v>2006</v>
      </c>
      <c r="D105" s="17">
        <v>1222094.78</v>
      </c>
      <c r="E105" s="17">
        <f t="shared" si="4"/>
        <v>1222094.78</v>
      </c>
      <c r="F105" s="17"/>
      <c r="G105" s="17"/>
      <c r="H105" s="26">
        <f t="shared" si="1"/>
        <v>1222094.78</v>
      </c>
      <c r="I105" s="17"/>
      <c r="J105" s="1"/>
    </row>
    <row r="106" spans="1:10" x14ac:dyDescent="0.25">
      <c r="A106" s="43">
        <f t="shared" si="5"/>
        <v>90</v>
      </c>
      <c r="B106" s="132" t="s">
        <v>297</v>
      </c>
      <c r="C106" s="43">
        <v>2006</v>
      </c>
      <c r="D106" s="17">
        <v>1226600.4200000002</v>
      </c>
      <c r="E106" s="17">
        <f t="shared" si="4"/>
        <v>1226600.4200000002</v>
      </c>
      <c r="F106" s="17"/>
      <c r="G106" s="17"/>
      <c r="H106" s="26">
        <f t="shared" si="1"/>
        <v>1226600.4200000002</v>
      </c>
      <c r="I106" s="17"/>
      <c r="J106" s="1"/>
    </row>
    <row r="107" spans="1:10" x14ac:dyDescent="0.25">
      <c r="A107" s="43">
        <f t="shared" si="5"/>
        <v>91</v>
      </c>
      <c r="B107" s="132" t="s">
        <v>298</v>
      </c>
      <c r="C107" s="43">
        <v>2006</v>
      </c>
      <c r="D107" s="17">
        <v>1257311.97</v>
      </c>
      <c r="E107" s="17">
        <f t="shared" si="4"/>
        <v>1257311.97</v>
      </c>
      <c r="F107" s="17"/>
      <c r="G107" s="17"/>
      <c r="H107" s="26">
        <f t="shared" si="1"/>
        <v>1257311.97</v>
      </c>
      <c r="I107" s="17"/>
      <c r="J107" s="1"/>
    </row>
    <row r="108" spans="1:10" x14ac:dyDescent="0.25">
      <c r="A108" s="43">
        <f t="shared" si="5"/>
        <v>92</v>
      </c>
      <c r="B108" s="132" t="s">
        <v>299</v>
      </c>
      <c r="C108" s="43">
        <v>2006</v>
      </c>
      <c r="D108" s="17">
        <v>1352555.09</v>
      </c>
      <c r="E108" s="17">
        <f t="shared" si="4"/>
        <v>1352555.09</v>
      </c>
      <c r="F108" s="17"/>
      <c r="G108" s="17"/>
      <c r="H108" s="26">
        <f t="shared" si="1"/>
        <v>1352555.09</v>
      </c>
      <c r="I108" s="17"/>
      <c r="J108" s="1"/>
    </row>
    <row r="109" spans="1:10" x14ac:dyDescent="0.25">
      <c r="A109" s="43">
        <f t="shared" si="5"/>
        <v>93</v>
      </c>
      <c r="B109" s="132" t="s">
        <v>300</v>
      </c>
      <c r="C109" s="43">
        <v>2006</v>
      </c>
      <c r="D109" s="17">
        <v>1340624.53</v>
      </c>
      <c r="E109" s="17">
        <f t="shared" si="4"/>
        <v>1340624.53</v>
      </c>
      <c r="F109" s="17"/>
      <c r="G109" s="17"/>
      <c r="H109" s="26">
        <f t="shared" si="1"/>
        <v>1340624.53</v>
      </c>
      <c r="I109" s="17"/>
      <c r="J109" s="1"/>
    </row>
    <row r="110" spans="1:10" x14ac:dyDescent="0.25">
      <c r="A110" s="43">
        <f t="shared" si="5"/>
        <v>94</v>
      </c>
      <c r="B110" s="132" t="s">
        <v>289</v>
      </c>
      <c r="C110" s="43">
        <v>2006</v>
      </c>
      <c r="D110" s="17">
        <v>1418793.06</v>
      </c>
      <c r="E110" s="17">
        <f t="shared" si="4"/>
        <v>1418793.06</v>
      </c>
      <c r="F110" s="17"/>
      <c r="G110" s="17"/>
      <c r="H110" s="26">
        <f t="shared" si="1"/>
        <v>1418793.06</v>
      </c>
      <c r="I110" s="17"/>
      <c r="J110" s="1"/>
    </row>
    <row r="111" spans="1:10" x14ac:dyDescent="0.25">
      <c r="A111" s="43">
        <f t="shared" si="5"/>
        <v>95</v>
      </c>
      <c r="B111" s="132" t="s">
        <v>290</v>
      </c>
      <c r="C111" s="43">
        <v>2006</v>
      </c>
      <c r="D111" s="17">
        <v>1503050.57</v>
      </c>
      <c r="E111" s="17">
        <f t="shared" si="4"/>
        <v>1503050.57</v>
      </c>
      <c r="F111" s="17"/>
      <c r="G111" s="17"/>
      <c r="H111" s="26">
        <f t="shared" si="1"/>
        <v>1503050.57</v>
      </c>
      <c r="I111" s="17"/>
      <c r="J111" s="1"/>
    </row>
    <row r="112" spans="1:10" x14ac:dyDescent="0.25">
      <c r="A112" s="43">
        <f t="shared" si="5"/>
        <v>96</v>
      </c>
      <c r="B112" s="132" t="s">
        <v>291</v>
      </c>
      <c r="C112" s="43">
        <v>2006</v>
      </c>
      <c r="D112" s="17">
        <v>1564535.4300000004</v>
      </c>
      <c r="E112" s="17">
        <f t="shared" si="4"/>
        <v>1564535.4300000004</v>
      </c>
      <c r="F112" s="17"/>
      <c r="G112" s="17"/>
      <c r="H112" s="26">
        <f t="shared" si="1"/>
        <v>1564535.4300000004</v>
      </c>
      <c r="I112" s="17"/>
      <c r="J112" s="1"/>
    </row>
    <row r="113" spans="1:10" x14ac:dyDescent="0.25">
      <c r="A113" s="43">
        <f t="shared" si="5"/>
        <v>97</v>
      </c>
      <c r="B113" s="132" t="s">
        <v>292</v>
      </c>
      <c r="C113" s="43">
        <v>2006</v>
      </c>
      <c r="D113" s="17">
        <v>1431262.9300000004</v>
      </c>
      <c r="E113" s="17">
        <f t="shared" si="4"/>
        <v>1431262.9300000004</v>
      </c>
      <c r="F113" s="17"/>
      <c r="G113" s="17"/>
      <c r="H113" s="26">
        <f t="shared" si="1"/>
        <v>1431262.9300000004</v>
      </c>
      <c r="I113" s="17"/>
      <c r="J113" s="1"/>
    </row>
    <row r="114" spans="1:10" x14ac:dyDescent="0.25">
      <c r="A114" s="43">
        <f t="shared" si="5"/>
        <v>98</v>
      </c>
      <c r="B114" s="132" t="s">
        <v>293</v>
      </c>
      <c r="C114" s="43">
        <v>2006</v>
      </c>
      <c r="D114" s="17">
        <v>1346906.6</v>
      </c>
      <c r="E114" s="17">
        <f t="shared" si="4"/>
        <v>1346906.6</v>
      </c>
      <c r="F114" s="17"/>
      <c r="G114" s="17"/>
      <c r="H114" s="26">
        <f t="shared" si="1"/>
        <v>1346906.6</v>
      </c>
      <c r="I114" s="17"/>
      <c r="J114" s="1"/>
    </row>
    <row r="115" spans="1:10" x14ac:dyDescent="0.25">
      <c r="A115" s="43">
        <f t="shared" si="5"/>
        <v>99</v>
      </c>
      <c r="B115" s="132" t="s">
        <v>294</v>
      </c>
      <c r="C115" s="43">
        <v>2006</v>
      </c>
      <c r="D115" s="17">
        <v>1386248.74</v>
      </c>
      <c r="E115" s="17">
        <f t="shared" si="4"/>
        <v>1386248.74</v>
      </c>
      <c r="F115" s="17"/>
      <c r="G115" s="17"/>
      <c r="H115" s="26">
        <f t="shared" si="1"/>
        <v>1386248.74</v>
      </c>
      <c r="I115" s="17"/>
      <c r="J115" s="1"/>
    </row>
    <row r="116" spans="1:10" x14ac:dyDescent="0.25">
      <c r="A116" s="43">
        <f t="shared" si="5"/>
        <v>100</v>
      </c>
      <c r="B116" s="132" t="s">
        <v>295</v>
      </c>
      <c r="C116" s="43">
        <v>2007</v>
      </c>
      <c r="D116" s="17">
        <v>1341067.33</v>
      </c>
      <c r="E116" s="17">
        <f t="shared" si="4"/>
        <v>1341067.33</v>
      </c>
      <c r="F116" s="17"/>
      <c r="G116" s="17"/>
      <c r="H116" s="26">
        <f t="shared" si="1"/>
        <v>1341067.33</v>
      </c>
      <c r="I116" s="17"/>
      <c r="J116" s="1"/>
    </row>
    <row r="117" spans="1:10" x14ac:dyDescent="0.25">
      <c r="A117" s="43">
        <f t="shared" si="5"/>
        <v>101</v>
      </c>
      <c r="B117" s="132" t="s">
        <v>296</v>
      </c>
      <c r="C117" s="43">
        <v>2007</v>
      </c>
      <c r="D117" s="17">
        <v>1317277.98</v>
      </c>
      <c r="E117" s="17">
        <f t="shared" si="4"/>
        <v>1317277.98</v>
      </c>
      <c r="F117" s="17"/>
      <c r="G117" s="17"/>
      <c r="H117" s="26">
        <f t="shared" si="1"/>
        <v>1317277.98</v>
      </c>
      <c r="I117" s="17"/>
      <c r="J117" s="1"/>
    </row>
    <row r="118" spans="1:10" x14ac:dyDescent="0.25">
      <c r="A118" s="43">
        <f t="shared" si="5"/>
        <v>102</v>
      </c>
      <c r="B118" s="132" t="s">
        <v>297</v>
      </c>
      <c r="C118" s="43">
        <v>2007</v>
      </c>
      <c r="D118" s="17">
        <v>1326811.54</v>
      </c>
      <c r="E118" s="17">
        <f t="shared" si="4"/>
        <v>1326811.54</v>
      </c>
      <c r="F118" s="17"/>
      <c r="G118" s="17"/>
      <c r="H118" s="26">
        <f t="shared" si="1"/>
        <v>1326811.54</v>
      </c>
      <c r="I118" s="17"/>
      <c r="J118" s="1"/>
    </row>
    <row r="119" spans="1:10" x14ac:dyDescent="0.25">
      <c r="A119" s="43">
        <f t="shared" si="5"/>
        <v>103</v>
      </c>
      <c r="B119" s="132" t="s">
        <v>298</v>
      </c>
      <c r="C119" s="43">
        <v>2007</v>
      </c>
      <c r="D119" s="17">
        <v>1389597.86</v>
      </c>
      <c r="E119" s="17">
        <f t="shared" si="4"/>
        <v>1389597.86</v>
      </c>
      <c r="F119" s="17"/>
      <c r="G119" s="17"/>
      <c r="H119" s="26">
        <f t="shared" si="1"/>
        <v>1389597.86</v>
      </c>
      <c r="I119" s="17"/>
      <c r="J119" s="1"/>
    </row>
    <row r="120" spans="1:10" x14ac:dyDescent="0.25">
      <c r="A120" s="43">
        <f t="shared" si="5"/>
        <v>104</v>
      </c>
      <c r="B120" s="132" t="s">
        <v>299</v>
      </c>
      <c r="C120" s="43">
        <v>2007</v>
      </c>
      <c r="D120" s="17">
        <v>1432126.58</v>
      </c>
      <c r="E120" s="17">
        <f t="shared" si="4"/>
        <v>1432126.58</v>
      </c>
      <c r="F120" s="17"/>
      <c r="G120" s="17"/>
      <c r="H120" s="26">
        <f t="shared" si="1"/>
        <v>1432126.58</v>
      </c>
      <c r="I120" s="17"/>
      <c r="J120" s="1"/>
    </row>
    <row r="121" spans="1:10" x14ac:dyDescent="0.25">
      <c r="A121" s="43">
        <f t="shared" si="5"/>
        <v>105</v>
      </c>
      <c r="B121" s="132" t="s">
        <v>300</v>
      </c>
      <c r="C121" s="43">
        <v>2007</v>
      </c>
      <c r="D121" s="17">
        <v>1420460.09</v>
      </c>
      <c r="E121" s="17">
        <f t="shared" si="4"/>
        <v>1420460.09</v>
      </c>
      <c r="F121" s="17"/>
      <c r="G121" s="17"/>
      <c r="H121" s="26">
        <f t="shared" si="1"/>
        <v>1420460.09</v>
      </c>
      <c r="I121" s="17"/>
      <c r="J121" s="1"/>
    </row>
    <row r="122" spans="1:10" x14ac:dyDescent="0.25">
      <c r="A122" s="43">
        <f t="shared" si="5"/>
        <v>106</v>
      </c>
      <c r="B122" s="132" t="s">
        <v>289</v>
      </c>
      <c r="C122" s="43">
        <v>2007</v>
      </c>
      <c r="D122" s="17">
        <v>1454669.45</v>
      </c>
      <c r="E122" s="17">
        <f t="shared" si="4"/>
        <v>1454669.45</v>
      </c>
      <c r="F122" s="17"/>
      <c r="G122" s="17"/>
      <c r="H122" s="26">
        <f t="shared" si="1"/>
        <v>1454669.45</v>
      </c>
      <c r="I122" s="17"/>
      <c r="J122" s="1"/>
    </row>
    <row r="123" spans="1:10" x14ac:dyDescent="0.25">
      <c r="A123" s="43">
        <f t="shared" si="5"/>
        <v>107</v>
      </c>
      <c r="B123" s="132" t="s">
        <v>290</v>
      </c>
      <c r="C123" s="43">
        <v>2007</v>
      </c>
      <c r="D123" s="17">
        <v>1539302.28</v>
      </c>
      <c r="E123" s="17">
        <f t="shared" si="4"/>
        <v>1539302.28</v>
      </c>
      <c r="F123" s="17"/>
      <c r="G123" s="17"/>
      <c r="H123" s="26">
        <f t="shared" si="1"/>
        <v>1539302.28</v>
      </c>
      <c r="I123" s="17"/>
      <c r="J123" s="1"/>
    </row>
    <row r="124" spans="1:10" x14ac:dyDescent="0.25">
      <c r="A124" s="43">
        <f t="shared" si="5"/>
        <v>108</v>
      </c>
      <c r="B124" s="132" t="s">
        <v>291</v>
      </c>
      <c r="C124" s="43">
        <v>2007</v>
      </c>
      <c r="D124" s="17">
        <v>1319324.52</v>
      </c>
      <c r="E124" s="17">
        <f t="shared" si="4"/>
        <v>1319324.52</v>
      </c>
      <c r="F124" s="17"/>
      <c r="G124" s="17"/>
      <c r="H124" s="26">
        <f t="shared" si="1"/>
        <v>1319324.52</v>
      </c>
      <c r="I124" s="17"/>
      <c r="J124" s="1"/>
    </row>
    <row r="125" spans="1:10" x14ac:dyDescent="0.25">
      <c r="A125" s="43">
        <f t="shared" si="5"/>
        <v>109</v>
      </c>
      <c r="B125" s="132" t="s">
        <v>292</v>
      </c>
      <c r="C125" s="43">
        <v>2007</v>
      </c>
      <c r="D125" s="17">
        <v>1491514.1</v>
      </c>
      <c r="E125" s="17">
        <f t="shared" si="4"/>
        <v>1491514.1</v>
      </c>
      <c r="F125" s="17"/>
      <c r="G125" s="17"/>
      <c r="H125" s="26">
        <f t="shared" si="1"/>
        <v>1491514.1</v>
      </c>
      <c r="I125" s="17"/>
      <c r="J125" s="1"/>
    </row>
    <row r="126" spans="1:10" x14ac:dyDescent="0.25">
      <c r="A126" s="43">
        <f t="shared" si="5"/>
        <v>110</v>
      </c>
      <c r="B126" s="132" t="s">
        <v>293</v>
      </c>
      <c r="C126" s="43">
        <v>2007</v>
      </c>
      <c r="D126" s="17">
        <v>1546081.4000000001</v>
      </c>
      <c r="E126" s="17">
        <f t="shared" si="4"/>
        <v>1546081.4000000001</v>
      </c>
      <c r="F126" s="17"/>
      <c r="G126" s="17"/>
      <c r="H126" s="26">
        <f t="shared" si="1"/>
        <v>1546081.4000000001</v>
      </c>
      <c r="I126" s="17"/>
      <c r="J126" s="1"/>
    </row>
    <row r="127" spans="1:10" x14ac:dyDescent="0.25">
      <c r="A127" s="43">
        <f t="shared" si="5"/>
        <v>111</v>
      </c>
      <c r="B127" s="132" t="s">
        <v>294</v>
      </c>
      <c r="C127" s="43">
        <v>2007</v>
      </c>
      <c r="D127" s="17">
        <v>1511448.34</v>
      </c>
      <c r="E127" s="17">
        <f t="shared" si="4"/>
        <v>1511448.34</v>
      </c>
      <c r="F127" s="17"/>
      <c r="G127" s="17"/>
      <c r="H127" s="26">
        <f t="shared" si="1"/>
        <v>1511448.34</v>
      </c>
      <c r="I127" s="17"/>
      <c r="J127" s="1"/>
    </row>
    <row r="128" spans="1:10" x14ac:dyDescent="0.25">
      <c r="A128" s="43">
        <f t="shared" si="5"/>
        <v>112</v>
      </c>
      <c r="B128" s="132" t="s">
        <v>295</v>
      </c>
      <c r="C128" s="43">
        <v>2008</v>
      </c>
      <c r="D128" s="17">
        <v>1626766.34</v>
      </c>
      <c r="E128" s="17">
        <f t="shared" si="4"/>
        <v>1626766.34</v>
      </c>
      <c r="F128" s="17"/>
      <c r="G128" s="17"/>
      <c r="H128" s="26">
        <f t="shared" si="1"/>
        <v>1626766.34</v>
      </c>
      <c r="I128" s="17"/>
      <c r="J128" s="1"/>
    </row>
    <row r="129" spans="1:10" x14ac:dyDescent="0.25">
      <c r="A129" s="43">
        <f t="shared" si="5"/>
        <v>113</v>
      </c>
      <c r="B129" s="132" t="s">
        <v>296</v>
      </c>
      <c r="C129" s="43">
        <v>2008</v>
      </c>
      <c r="D129" s="17">
        <v>1640634.03</v>
      </c>
      <c r="E129" s="17">
        <f t="shared" si="4"/>
        <v>1640634.03</v>
      </c>
      <c r="F129" s="17"/>
      <c r="G129" s="17"/>
      <c r="H129" s="26">
        <f t="shared" si="1"/>
        <v>1640634.03</v>
      </c>
      <c r="I129" s="17"/>
      <c r="J129" s="1"/>
    </row>
    <row r="130" spans="1:10" x14ac:dyDescent="0.25">
      <c r="A130" s="43">
        <f t="shared" si="5"/>
        <v>114</v>
      </c>
      <c r="B130" s="132" t="s">
        <v>297</v>
      </c>
      <c r="C130" s="43">
        <v>2008</v>
      </c>
      <c r="D130" s="17">
        <v>1715644.72</v>
      </c>
      <c r="E130" s="17">
        <f t="shared" si="4"/>
        <v>1715644.72</v>
      </c>
      <c r="F130" s="17"/>
      <c r="G130" s="17"/>
      <c r="H130" s="26">
        <f t="shared" si="1"/>
        <v>1715644.72</v>
      </c>
      <c r="I130" s="17"/>
      <c r="J130" s="1"/>
    </row>
    <row r="131" spans="1:10" x14ac:dyDescent="0.25">
      <c r="A131" s="43">
        <f t="shared" si="5"/>
        <v>115</v>
      </c>
      <c r="B131" s="132" t="s">
        <v>298</v>
      </c>
      <c r="C131" s="43">
        <v>2008</v>
      </c>
      <c r="D131" s="17">
        <v>1588453.26</v>
      </c>
      <c r="E131" s="17">
        <f t="shared" si="4"/>
        <v>1588453.26</v>
      </c>
      <c r="F131" s="17"/>
      <c r="G131" s="17"/>
      <c r="H131" s="26">
        <f t="shared" si="1"/>
        <v>1588453.26</v>
      </c>
      <c r="I131" s="17"/>
      <c r="J131" s="1"/>
    </row>
    <row r="132" spans="1:10" x14ac:dyDescent="0.25">
      <c r="A132" s="43">
        <f t="shared" si="5"/>
        <v>116</v>
      </c>
      <c r="B132" s="132" t="s">
        <v>299</v>
      </c>
      <c r="C132" s="43">
        <v>2008</v>
      </c>
      <c r="D132" s="17">
        <v>2191411.9900000002</v>
      </c>
      <c r="E132" s="17">
        <f t="shared" si="4"/>
        <v>2191411.9900000002</v>
      </c>
      <c r="F132" s="17"/>
      <c r="G132" s="17"/>
      <c r="H132" s="26">
        <f t="shared" si="1"/>
        <v>2191411.9900000002</v>
      </c>
      <c r="I132" s="17"/>
      <c r="J132" s="1"/>
    </row>
    <row r="133" spans="1:10" x14ac:dyDescent="0.25">
      <c r="A133" s="43">
        <f t="shared" si="5"/>
        <v>117</v>
      </c>
      <c r="B133" s="132" t="s">
        <v>300</v>
      </c>
      <c r="C133" s="43">
        <v>2008</v>
      </c>
      <c r="D133" s="17">
        <v>2151526.4900000002</v>
      </c>
      <c r="E133" s="17">
        <f t="shared" si="4"/>
        <v>2151526.4900000002</v>
      </c>
      <c r="F133" s="17"/>
      <c r="G133" s="17"/>
      <c r="H133" s="26">
        <f t="shared" si="1"/>
        <v>2151526.4900000002</v>
      </c>
      <c r="I133" s="17"/>
      <c r="J133" s="1"/>
    </row>
    <row r="134" spans="1:10" x14ac:dyDescent="0.25">
      <c r="A134" s="43">
        <f t="shared" si="5"/>
        <v>118</v>
      </c>
      <c r="B134" s="132" t="s">
        <v>289</v>
      </c>
      <c r="C134" s="43">
        <v>2008</v>
      </c>
      <c r="D134" s="17">
        <v>2155934.98</v>
      </c>
      <c r="E134" s="17">
        <f t="shared" si="4"/>
        <v>2155934.98</v>
      </c>
      <c r="F134" s="17"/>
      <c r="G134" s="17"/>
      <c r="H134" s="26">
        <f t="shared" si="1"/>
        <v>2155934.98</v>
      </c>
      <c r="I134" s="17"/>
      <c r="J134" s="1"/>
    </row>
    <row r="135" spans="1:10" x14ac:dyDescent="0.25">
      <c r="A135" s="43">
        <f t="shared" si="5"/>
        <v>119</v>
      </c>
      <c r="B135" s="132" t="s">
        <v>290</v>
      </c>
      <c r="C135" s="43">
        <v>2008</v>
      </c>
      <c r="D135" s="17">
        <v>2094554.6500000001</v>
      </c>
      <c r="E135" s="17">
        <f t="shared" si="4"/>
        <v>2094554.6500000001</v>
      </c>
      <c r="F135" s="17"/>
      <c r="G135" s="17"/>
      <c r="H135" s="26">
        <f t="shared" si="1"/>
        <v>2094554.6500000001</v>
      </c>
      <c r="I135" s="17"/>
      <c r="J135" s="1"/>
    </row>
    <row r="136" spans="1:10" x14ac:dyDescent="0.25">
      <c r="A136" s="43">
        <f t="shared" si="5"/>
        <v>120</v>
      </c>
      <c r="B136" s="132" t="s">
        <v>291</v>
      </c>
      <c r="C136" s="43">
        <v>2008</v>
      </c>
      <c r="D136" s="17">
        <v>1663269.73</v>
      </c>
      <c r="E136" s="17">
        <f t="shared" si="4"/>
        <v>1663269.73</v>
      </c>
      <c r="F136" s="17"/>
      <c r="G136" s="17"/>
      <c r="H136" s="26">
        <f t="shared" si="1"/>
        <v>1663269.73</v>
      </c>
      <c r="I136" s="17"/>
      <c r="J136" s="1"/>
    </row>
    <row r="137" spans="1:10" x14ac:dyDescent="0.25">
      <c r="A137" s="43">
        <f t="shared" si="5"/>
        <v>121</v>
      </c>
      <c r="B137" s="132" t="s">
        <v>292</v>
      </c>
      <c r="C137" s="43">
        <v>2008</v>
      </c>
      <c r="D137" s="17">
        <v>1716599.06</v>
      </c>
      <c r="E137" s="17">
        <f t="shared" si="4"/>
        <v>1716599.06</v>
      </c>
      <c r="F137" s="17"/>
      <c r="G137" s="17"/>
      <c r="H137" s="26">
        <f t="shared" si="1"/>
        <v>1716599.06</v>
      </c>
      <c r="I137" s="17"/>
      <c r="J137" s="1"/>
    </row>
    <row r="138" spans="1:10" x14ac:dyDescent="0.25">
      <c r="A138" s="43">
        <f t="shared" si="5"/>
        <v>122</v>
      </c>
      <c r="B138" s="132" t="s">
        <v>293</v>
      </c>
      <c r="C138" s="43">
        <v>2008</v>
      </c>
      <c r="D138" s="17">
        <v>1855861.24</v>
      </c>
      <c r="E138" s="17">
        <f t="shared" si="4"/>
        <v>1855861.24</v>
      </c>
      <c r="F138" s="17"/>
      <c r="G138" s="17"/>
      <c r="H138" s="26">
        <f t="shared" si="1"/>
        <v>1855861.24</v>
      </c>
      <c r="I138" s="17"/>
      <c r="J138" s="1"/>
    </row>
    <row r="139" spans="1:10" x14ac:dyDescent="0.25">
      <c r="A139" s="43">
        <f t="shared" si="5"/>
        <v>123</v>
      </c>
      <c r="B139" s="132" t="s">
        <v>294</v>
      </c>
      <c r="C139" s="43">
        <v>2008</v>
      </c>
      <c r="D139" s="17">
        <v>1704716.4200000004</v>
      </c>
      <c r="E139" s="17">
        <f t="shared" si="4"/>
        <v>1704716.4200000004</v>
      </c>
      <c r="F139" s="17"/>
      <c r="G139" s="17"/>
      <c r="H139" s="26">
        <f t="shared" si="1"/>
        <v>1704716.4200000004</v>
      </c>
      <c r="I139" s="17"/>
      <c r="J139" s="1"/>
    </row>
    <row r="140" spans="1:10" x14ac:dyDescent="0.25">
      <c r="A140" s="43">
        <f t="shared" si="5"/>
        <v>124</v>
      </c>
      <c r="B140" s="132" t="s">
        <v>295</v>
      </c>
      <c r="C140" s="43">
        <v>2009</v>
      </c>
      <c r="D140" s="17">
        <v>1448878.34</v>
      </c>
      <c r="E140" s="17">
        <f t="shared" si="4"/>
        <v>1448878.34</v>
      </c>
      <c r="F140" s="17"/>
      <c r="G140" s="17"/>
      <c r="H140" s="26">
        <f t="shared" si="1"/>
        <v>1448878.34</v>
      </c>
      <c r="I140" s="17"/>
      <c r="J140" s="1"/>
    </row>
    <row r="141" spans="1:10" x14ac:dyDescent="0.25">
      <c r="A141" s="43">
        <f t="shared" si="5"/>
        <v>125</v>
      </c>
      <c r="B141" s="132" t="s">
        <v>296</v>
      </c>
      <c r="C141" s="43">
        <v>2009</v>
      </c>
      <c r="D141" s="17">
        <v>1576731.34</v>
      </c>
      <c r="E141" s="17">
        <f t="shared" si="4"/>
        <v>1576731.34</v>
      </c>
      <c r="F141" s="17"/>
      <c r="G141" s="17"/>
      <c r="H141" s="26">
        <f t="shared" si="1"/>
        <v>1576731.34</v>
      </c>
      <c r="I141" s="17"/>
      <c r="J141" s="1"/>
    </row>
    <row r="142" spans="1:10" x14ac:dyDescent="0.25">
      <c r="A142" s="43">
        <f t="shared" si="5"/>
        <v>126</v>
      </c>
      <c r="B142" s="132" t="s">
        <v>297</v>
      </c>
      <c r="C142" s="43">
        <v>2009</v>
      </c>
      <c r="D142" s="17">
        <v>1597924.74</v>
      </c>
      <c r="E142" s="17">
        <f t="shared" si="4"/>
        <v>1597924.74</v>
      </c>
      <c r="F142" s="17"/>
      <c r="G142" s="17"/>
      <c r="H142" s="26">
        <f t="shared" si="1"/>
        <v>1597924.74</v>
      </c>
      <c r="I142" s="17"/>
      <c r="J142" s="1"/>
    </row>
    <row r="143" spans="1:10" x14ac:dyDescent="0.25">
      <c r="A143" s="43">
        <f t="shared" si="5"/>
        <v>127</v>
      </c>
      <c r="B143" s="132" t="s">
        <v>298</v>
      </c>
      <c r="C143" s="43">
        <v>2009</v>
      </c>
      <c r="D143" s="17">
        <v>1561537.2000000004</v>
      </c>
      <c r="E143" s="17">
        <f t="shared" si="4"/>
        <v>1561537.2000000004</v>
      </c>
      <c r="F143" s="17"/>
      <c r="G143" s="17"/>
      <c r="H143" s="26">
        <f t="shared" si="1"/>
        <v>1561537.2000000004</v>
      </c>
      <c r="I143" s="17"/>
      <c r="J143" s="1"/>
    </row>
    <row r="144" spans="1:10" x14ac:dyDescent="0.25">
      <c r="A144" s="43">
        <f t="shared" si="5"/>
        <v>128</v>
      </c>
      <c r="B144" s="132" t="s">
        <v>299</v>
      </c>
      <c r="C144" s="43">
        <v>2009</v>
      </c>
      <c r="D144" s="17">
        <v>1523425.33</v>
      </c>
      <c r="E144" s="17">
        <f t="shared" si="4"/>
        <v>1523425.33</v>
      </c>
      <c r="F144" s="17"/>
      <c r="G144" s="17"/>
      <c r="H144" s="26">
        <f t="shared" si="1"/>
        <v>1523425.33</v>
      </c>
      <c r="I144" s="17"/>
      <c r="J144" s="1"/>
    </row>
    <row r="145" spans="1:10" x14ac:dyDescent="0.25">
      <c r="A145" s="43">
        <f t="shared" si="5"/>
        <v>129</v>
      </c>
      <c r="B145" s="132" t="s">
        <v>300</v>
      </c>
      <c r="C145" s="43">
        <v>2009</v>
      </c>
      <c r="D145" s="17">
        <v>1513393.1700000004</v>
      </c>
      <c r="E145" s="17">
        <f t="shared" si="4"/>
        <v>1513393.1700000004</v>
      </c>
      <c r="F145" s="17"/>
      <c r="G145" s="17"/>
      <c r="H145" s="26">
        <f t="shared" si="1"/>
        <v>1513393.1700000004</v>
      </c>
      <c r="I145" s="17"/>
      <c r="J145" s="1"/>
    </row>
    <row r="146" spans="1:10" x14ac:dyDescent="0.25">
      <c r="A146" s="43">
        <f t="shared" si="5"/>
        <v>130</v>
      </c>
      <c r="B146" s="132" t="s">
        <v>289</v>
      </c>
      <c r="C146" s="43">
        <v>2009</v>
      </c>
      <c r="D146" s="17">
        <v>1497080.24</v>
      </c>
      <c r="E146" s="17">
        <f t="shared" si="4"/>
        <v>1497080.24</v>
      </c>
      <c r="F146" s="17"/>
      <c r="G146" s="17"/>
      <c r="H146" s="26">
        <f t="shared" si="1"/>
        <v>1497080.24</v>
      </c>
      <c r="I146" s="17"/>
      <c r="J146" s="1"/>
    </row>
    <row r="147" spans="1:10" x14ac:dyDescent="0.25">
      <c r="A147" s="43">
        <f t="shared" si="5"/>
        <v>131</v>
      </c>
      <c r="B147" s="132" t="s">
        <v>290</v>
      </c>
      <c r="C147" s="43">
        <v>2009</v>
      </c>
      <c r="D147" s="17">
        <v>1517409.5</v>
      </c>
      <c r="E147" s="17">
        <f t="shared" ref="E147:E210" si="6">D147</f>
        <v>1517409.5</v>
      </c>
      <c r="F147" s="17"/>
      <c r="G147" s="17"/>
      <c r="H147" s="26">
        <f t="shared" si="1"/>
        <v>1517409.5</v>
      </c>
      <c r="I147" s="17"/>
      <c r="J147" s="1"/>
    </row>
    <row r="148" spans="1:10" x14ac:dyDescent="0.25">
      <c r="A148" s="43">
        <f t="shared" ref="A148:A211" si="7">A147+1</f>
        <v>132</v>
      </c>
      <c r="B148" s="132" t="s">
        <v>291</v>
      </c>
      <c r="C148" s="43">
        <v>2009</v>
      </c>
      <c r="D148" s="17">
        <v>1597399.4000000001</v>
      </c>
      <c r="E148" s="17">
        <f t="shared" si="6"/>
        <v>1597399.4000000001</v>
      </c>
      <c r="F148" s="17"/>
      <c r="G148" s="17"/>
      <c r="H148" s="26">
        <f t="shared" si="1"/>
        <v>1597399.4000000001</v>
      </c>
      <c r="I148" s="17"/>
      <c r="J148" s="1"/>
    </row>
    <row r="149" spans="1:10" x14ac:dyDescent="0.25">
      <c r="A149" s="43">
        <f t="shared" si="7"/>
        <v>133</v>
      </c>
      <c r="B149" s="132" t="s">
        <v>292</v>
      </c>
      <c r="C149" s="43">
        <v>2009</v>
      </c>
      <c r="D149" s="17">
        <v>1599293.76</v>
      </c>
      <c r="E149" s="17">
        <f t="shared" si="6"/>
        <v>1599293.76</v>
      </c>
      <c r="F149" s="17"/>
      <c r="G149" s="17"/>
      <c r="H149" s="26">
        <f t="shared" si="1"/>
        <v>1599293.76</v>
      </c>
      <c r="I149" s="17"/>
      <c r="J149" s="1"/>
    </row>
    <row r="150" spans="1:10" x14ac:dyDescent="0.25">
      <c r="A150" s="43">
        <f t="shared" si="7"/>
        <v>134</v>
      </c>
      <c r="B150" s="132" t="s">
        <v>293</v>
      </c>
      <c r="C150" s="43">
        <v>2009</v>
      </c>
      <c r="D150" s="17">
        <v>1532238.6500000001</v>
      </c>
      <c r="E150" s="17">
        <f t="shared" si="6"/>
        <v>1532238.6500000001</v>
      </c>
      <c r="F150" s="17"/>
      <c r="G150" s="17"/>
      <c r="H150" s="26">
        <f t="shared" si="1"/>
        <v>1532238.6500000001</v>
      </c>
      <c r="I150" s="17"/>
      <c r="J150" s="1"/>
    </row>
    <row r="151" spans="1:10" x14ac:dyDescent="0.25">
      <c r="A151" s="43">
        <f t="shared" si="7"/>
        <v>135</v>
      </c>
      <c r="B151" s="132" t="s">
        <v>294</v>
      </c>
      <c r="C151" s="43">
        <v>2009</v>
      </c>
      <c r="D151" s="17">
        <v>1666963.1400000001</v>
      </c>
      <c r="E151" s="17">
        <f t="shared" si="6"/>
        <v>1666963.1400000001</v>
      </c>
      <c r="F151" s="17"/>
      <c r="G151" s="17"/>
      <c r="H151" s="26">
        <f t="shared" si="1"/>
        <v>1666963.1400000001</v>
      </c>
      <c r="I151" s="17"/>
      <c r="J151" s="1"/>
    </row>
    <row r="152" spans="1:10" x14ac:dyDescent="0.25">
      <c r="A152" s="43">
        <f t="shared" si="7"/>
        <v>136</v>
      </c>
      <c r="B152" s="132" t="s">
        <v>295</v>
      </c>
      <c r="C152" s="43">
        <v>2010</v>
      </c>
      <c r="D152" s="17">
        <v>1571247.26</v>
      </c>
      <c r="E152" s="17">
        <f t="shared" si="6"/>
        <v>1571247.26</v>
      </c>
      <c r="F152" s="17"/>
      <c r="G152" s="17"/>
      <c r="H152" s="26">
        <f t="shared" si="1"/>
        <v>1571247.26</v>
      </c>
      <c r="I152" s="17"/>
      <c r="J152" s="1"/>
    </row>
    <row r="153" spans="1:10" x14ac:dyDescent="0.25">
      <c r="A153" s="43">
        <f t="shared" si="7"/>
        <v>137</v>
      </c>
      <c r="B153" s="132" t="s">
        <v>296</v>
      </c>
      <c r="C153" s="43">
        <v>2010</v>
      </c>
      <c r="D153" s="17">
        <v>1690216.6800000004</v>
      </c>
      <c r="E153" s="17">
        <f t="shared" si="6"/>
        <v>1690216.6800000004</v>
      </c>
      <c r="F153" s="17"/>
      <c r="G153" s="17"/>
      <c r="H153" s="26">
        <f t="shared" si="1"/>
        <v>1690216.6800000004</v>
      </c>
      <c r="I153" s="17"/>
      <c r="J153" s="1"/>
    </row>
    <row r="154" spans="1:10" x14ac:dyDescent="0.25">
      <c r="A154" s="43">
        <f t="shared" si="7"/>
        <v>138</v>
      </c>
      <c r="B154" s="132" t="s">
        <v>297</v>
      </c>
      <c r="C154" s="43">
        <v>2010</v>
      </c>
      <c r="D154" s="17">
        <v>1839398.99</v>
      </c>
      <c r="E154" s="17">
        <f t="shared" si="6"/>
        <v>1839398.99</v>
      </c>
      <c r="F154" s="17"/>
      <c r="G154" s="17"/>
      <c r="H154" s="26">
        <f t="shared" si="1"/>
        <v>1839398.99</v>
      </c>
      <c r="I154" s="17"/>
      <c r="J154" s="1"/>
    </row>
    <row r="155" spans="1:10" x14ac:dyDescent="0.25">
      <c r="A155" s="43">
        <f t="shared" si="7"/>
        <v>139</v>
      </c>
      <c r="B155" s="132" t="s">
        <v>298</v>
      </c>
      <c r="C155" s="43">
        <v>2010</v>
      </c>
      <c r="D155" s="17">
        <v>1593355.74</v>
      </c>
      <c r="E155" s="17">
        <f t="shared" si="6"/>
        <v>1593355.74</v>
      </c>
      <c r="F155" s="17"/>
      <c r="G155" s="17"/>
      <c r="H155" s="26">
        <f t="shared" si="1"/>
        <v>1593355.74</v>
      </c>
      <c r="I155" s="17"/>
      <c r="J155" s="1"/>
    </row>
    <row r="156" spans="1:10" x14ac:dyDescent="0.25">
      <c r="A156" s="43">
        <f t="shared" si="7"/>
        <v>140</v>
      </c>
      <c r="B156" s="132" t="s">
        <v>299</v>
      </c>
      <c r="C156" s="43">
        <v>2010</v>
      </c>
      <c r="D156" s="17">
        <v>1674879.25</v>
      </c>
      <c r="E156" s="17">
        <f t="shared" si="6"/>
        <v>1674879.25</v>
      </c>
      <c r="F156" s="17"/>
      <c r="G156" s="17"/>
      <c r="H156" s="26">
        <f t="shared" si="1"/>
        <v>1674879.25</v>
      </c>
      <c r="I156" s="17"/>
      <c r="J156" s="1"/>
    </row>
    <row r="157" spans="1:10" x14ac:dyDescent="0.25">
      <c r="A157" s="43">
        <f t="shared" si="7"/>
        <v>141</v>
      </c>
      <c r="B157" s="132" t="s">
        <v>300</v>
      </c>
      <c r="C157" s="43">
        <v>2010</v>
      </c>
      <c r="D157" s="17">
        <v>1767872.61</v>
      </c>
      <c r="E157" s="17">
        <f t="shared" si="6"/>
        <v>1767872.61</v>
      </c>
      <c r="F157" s="17"/>
      <c r="G157" s="17"/>
      <c r="H157" s="26">
        <f t="shared" si="1"/>
        <v>1767872.61</v>
      </c>
      <c r="I157" s="17"/>
      <c r="J157" s="1"/>
    </row>
    <row r="158" spans="1:10" x14ac:dyDescent="0.25">
      <c r="A158" s="43">
        <f t="shared" si="7"/>
        <v>142</v>
      </c>
      <c r="B158" s="132" t="s">
        <v>289</v>
      </c>
      <c r="C158" s="43">
        <v>2010</v>
      </c>
      <c r="D158" s="17">
        <v>1715331.9200000004</v>
      </c>
      <c r="E158" s="17">
        <f t="shared" si="6"/>
        <v>1715331.9200000004</v>
      </c>
      <c r="F158" s="17"/>
      <c r="G158" s="17"/>
      <c r="H158" s="26">
        <f t="shared" si="1"/>
        <v>1715331.9200000004</v>
      </c>
      <c r="I158" s="17"/>
      <c r="J158" s="1"/>
    </row>
    <row r="159" spans="1:10" x14ac:dyDescent="0.25">
      <c r="A159" s="43">
        <f t="shared" si="7"/>
        <v>143</v>
      </c>
      <c r="B159" s="132" t="s">
        <v>290</v>
      </c>
      <c r="C159" s="43">
        <v>2010</v>
      </c>
      <c r="D159" s="17">
        <v>1838339.85</v>
      </c>
      <c r="E159" s="17">
        <f t="shared" si="6"/>
        <v>1838339.85</v>
      </c>
      <c r="F159" s="17"/>
      <c r="G159" s="17"/>
      <c r="H159" s="26">
        <f t="shared" si="1"/>
        <v>1838339.85</v>
      </c>
      <c r="I159" s="17"/>
      <c r="J159" s="1"/>
    </row>
    <row r="160" spans="1:10" x14ac:dyDescent="0.25">
      <c r="A160" s="43">
        <f t="shared" si="7"/>
        <v>144</v>
      </c>
      <c r="B160" s="132" t="s">
        <v>291</v>
      </c>
      <c r="C160" s="43">
        <v>2010</v>
      </c>
      <c r="D160" s="17">
        <v>1692725.1700000004</v>
      </c>
      <c r="E160" s="17">
        <f t="shared" si="6"/>
        <v>1692725.1700000004</v>
      </c>
      <c r="F160" s="17"/>
      <c r="G160" s="17"/>
      <c r="H160" s="26">
        <f t="shared" si="1"/>
        <v>1692725.1700000004</v>
      </c>
      <c r="I160" s="17"/>
      <c r="J160" s="1"/>
    </row>
    <row r="161" spans="1:10" x14ac:dyDescent="0.25">
      <c r="A161" s="43">
        <f t="shared" si="7"/>
        <v>145</v>
      </c>
      <c r="B161" s="132" t="s">
        <v>292</v>
      </c>
      <c r="C161" s="43">
        <v>2010</v>
      </c>
      <c r="D161" s="17">
        <v>1672371.9300000004</v>
      </c>
      <c r="E161" s="17">
        <f t="shared" si="6"/>
        <v>1672371.9300000004</v>
      </c>
      <c r="F161" s="17"/>
      <c r="G161" s="17"/>
      <c r="H161" s="26">
        <f t="shared" si="1"/>
        <v>1672371.9300000004</v>
      </c>
      <c r="I161" s="17"/>
      <c r="J161" s="1"/>
    </row>
    <row r="162" spans="1:10" x14ac:dyDescent="0.25">
      <c r="A162" s="43">
        <f t="shared" si="7"/>
        <v>146</v>
      </c>
      <c r="B162" s="132" t="s">
        <v>293</v>
      </c>
      <c r="C162" s="43">
        <v>2010</v>
      </c>
      <c r="D162" s="17">
        <v>1707720.8</v>
      </c>
      <c r="E162" s="17">
        <f t="shared" si="6"/>
        <v>1707720.8</v>
      </c>
      <c r="F162" s="17"/>
      <c r="G162" s="17"/>
      <c r="H162" s="26">
        <f t="shared" si="1"/>
        <v>1707720.8</v>
      </c>
      <c r="I162" s="17"/>
      <c r="J162" s="1"/>
    </row>
    <row r="163" spans="1:10" x14ac:dyDescent="0.25">
      <c r="A163" s="43">
        <f t="shared" si="7"/>
        <v>147</v>
      </c>
      <c r="B163" s="132" t="s">
        <v>294</v>
      </c>
      <c r="C163" s="43">
        <v>2010</v>
      </c>
      <c r="D163" s="17">
        <v>1819114.47</v>
      </c>
      <c r="E163" s="17">
        <f t="shared" si="6"/>
        <v>1819114.47</v>
      </c>
      <c r="F163" s="17"/>
      <c r="G163" s="17"/>
      <c r="H163" s="26">
        <f t="shared" si="1"/>
        <v>1819114.47</v>
      </c>
      <c r="I163" s="17"/>
      <c r="J163" s="1"/>
    </row>
    <row r="164" spans="1:10" x14ac:dyDescent="0.25">
      <c r="A164" s="43">
        <f t="shared" si="7"/>
        <v>148</v>
      </c>
      <c r="B164" s="132" t="s">
        <v>295</v>
      </c>
      <c r="C164" s="43">
        <v>2011</v>
      </c>
      <c r="D164" s="17">
        <v>1514042.55</v>
      </c>
      <c r="E164" s="17">
        <f t="shared" si="6"/>
        <v>1514042.55</v>
      </c>
      <c r="F164" s="17"/>
      <c r="G164" s="17"/>
      <c r="H164" s="26">
        <f t="shared" si="1"/>
        <v>1514042.55</v>
      </c>
      <c r="I164" s="17"/>
      <c r="J164" s="1"/>
    </row>
    <row r="165" spans="1:10" x14ac:dyDescent="0.25">
      <c r="A165" s="43">
        <f t="shared" si="7"/>
        <v>149</v>
      </c>
      <c r="B165" s="132" t="s">
        <v>296</v>
      </c>
      <c r="C165" s="43">
        <v>2011</v>
      </c>
      <c r="D165" s="17">
        <v>1788069.6500000001</v>
      </c>
      <c r="E165" s="17">
        <f t="shared" si="6"/>
        <v>1788069.6500000001</v>
      </c>
      <c r="F165" s="17"/>
      <c r="G165" s="17"/>
      <c r="H165" s="26">
        <f t="shared" si="1"/>
        <v>1788069.6500000001</v>
      </c>
      <c r="I165" s="17"/>
      <c r="J165" s="1"/>
    </row>
    <row r="166" spans="1:10" x14ac:dyDescent="0.25">
      <c r="A166" s="43">
        <f t="shared" si="7"/>
        <v>150</v>
      </c>
      <c r="B166" s="132" t="s">
        <v>297</v>
      </c>
      <c r="C166" s="43">
        <v>2011</v>
      </c>
      <c r="D166" s="17">
        <v>1748406.7100000004</v>
      </c>
      <c r="E166" s="17">
        <f t="shared" si="6"/>
        <v>1748406.7100000004</v>
      </c>
      <c r="F166" s="17"/>
      <c r="G166" s="17"/>
      <c r="H166" s="26">
        <f t="shared" si="1"/>
        <v>1748406.7100000004</v>
      </c>
      <c r="I166" s="17"/>
      <c r="J166" s="1"/>
    </row>
    <row r="167" spans="1:10" x14ac:dyDescent="0.25">
      <c r="A167" s="43">
        <f t="shared" si="7"/>
        <v>151</v>
      </c>
      <c r="B167" s="132" t="s">
        <v>298</v>
      </c>
      <c r="C167" s="43">
        <v>2011</v>
      </c>
      <c r="D167" s="17">
        <v>2023239.58</v>
      </c>
      <c r="E167" s="17">
        <f t="shared" si="6"/>
        <v>2023239.58</v>
      </c>
      <c r="F167" s="17"/>
      <c r="G167" s="17"/>
      <c r="H167" s="26">
        <f t="shared" si="1"/>
        <v>2023239.58</v>
      </c>
      <c r="I167" s="17"/>
      <c r="J167" s="1"/>
    </row>
    <row r="168" spans="1:10" x14ac:dyDescent="0.25">
      <c r="A168" s="43">
        <f t="shared" si="7"/>
        <v>152</v>
      </c>
      <c r="B168" s="132" t="s">
        <v>299</v>
      </c>
      <c r="C168" s="43">
        <v>2011</v>
      </c>
      <c r="D168" s="17">
        <v>2116349.33</v>
      </c>
      <c r="E168" s="17">
        <f t="shared" si="6"/>
        <v>2116349.33</v>
      </c>
      <c r="F168" s="17"/>
      <c r="G168" s="17"/>
      <c r="H168" s="26">
        <f t="shared" si="1"/>
        <v>2116349.33</v>
      </c>
      <c r="I168" s="17"/>
      <c r="J168" s="1"/>
    </row>
    <row r="169" spans="1:10" x14ac:dyDescent="0.25">
      <c r="A169" s="43">
        <f t="shared" si="7"/>
        <v>153</v>
      </c>
      <c r="B169" s="132" t="s">
        <v>300</v>
      </c>
      <c r="C169" s="43">
        <v>2011</v>
      </c>
      <c r="D169" s="17">
        <v>1931435.07</v>
      </c>
      <c r="E169" s="17">
        <f t="shared" si="6"/>
        <v>1931435.07</v>
      </c>
      <c r="F169" s="17"/>
      <c r="G169" s="17"/>
      <c r="H169" s="26">
        <f t="shared" si="1"/>
        <v>1931435.07</v>
      </c>
      <c r="I169" s="17"/>
      <c r="J169" s="1"/>
    </row>
    <row r="170" spans="1:10" x14ac:dyDescent="0.25">
      <c r="A170" s="43">
        <f t="shared" si="7"/>
        <v>154</v>
      </c>
      <c r="B170" s="132" t="s">
        <v>289</v>
      </c>
      <c r="C170" s="43">
        <v>2011</v>
      </c>
      <c r="D170" s="17">
        <v>1954998.26</v>
      </c>
      <c r="E170" s="17">
        <f t="shared" si="6"/>
        <v>1954998.26</v>
      </c>
      <c r="F170" s="17"/>
      <c r="G170" s="17"/>
      <c r="H170" s="26">
        <f t="shared" si="1"/>
        <v>1954998.26</v>
      </c>
      <c r="I170" s="17"/>
      <c r="J170" s="1"/>
    </row>
    <row r="171" spans="1:10" x14ac:dyDescent="0.25">
      <c r="A171" s="43">
        <f t="shared" si="7"/>
        <v>155</v>
      </c>
      <c r="B171" s="132" t="s">
        <v>290</v>
      </c>
      <c r="C171" s="43">
        <v>2011</v>
      </c>
      <c r="D171" s="17">
        <v>2045590.58</v>
      </c>
      <c r="E171" s="17">
        <f t="shared" si="6"/>
        <v>2045590.58</v>
      </c>
      <c r="F171" s="17"/>
      <c r="G171" s="17"/>
      <c r="H171" s="26">
        <f t="shared" si="1"/>
        <v>2045590.58</v>
      </c>
      <c r="I171" s="17"/>
      <c r="J171" s="1"/>
    </row>
    <row r="172" spans="1:10" x14ac:dyDescent="0.25">
      <c r="A172" s="43">
        <f t="shared" si="7"/>
        <v>156</v>
      </c>
      <c r="B172" s="132" t="s">
        <v>291</v>
      </c>
      <c r="C172" s="43">
        <v>2011</v>
      </c>
      <c r="D172" s="17">
        <v>1968014.4300000004</v>
      </c>
      <c r="E172" s="17">
        <f t="shared" si="6"/>
        <v>1968014.4300000004</v>
      </c>
      <c r="F172" s="17"/>
      <c r="G172" s="17"/>
      <c r="H172" s="26">
        <f t="shared" si="1"/>
        <v>1968014.4300000004</v>
      </c>
      <c r="I172" s="17"/>
      <c r="J172" s="1"/>
    </row>
    <row r="173" spans="1:10" x14ac:dyDescent="0.25">
      <c r="A173" s="43">
        <f t="shared" si="7"/>
        <v>157</v>
      </c>
      <c r="B173" s="132" t="s">
        <v>292</v>
      </c>
      <c r="C173" s="43">
        <v>2011</v>
      </c>
      <c r="D173" s="17">
        <v>1825729.2100000004</v>
      </c>
      <c r="E173" s="17">
        <f t="shared" si="6"/>
        <v>1825729.2100000004</v>
      </c>
      <c r="F173" s="17"/>
      <c r="G173" s="17"/>
      <c r="H173" s="26">
        <f t="shared" si="1"/>
        <v>1825729.2100000004</v>
      </c>
      <c r="I173" s="17"/>
      <c r="J173" s="1"/>
    </row>
    <row r="174" spans="1:10" x14ac:dyDescent="0.25">
      <c r="A174" s="43">
        <f t="shared" si="7"/>
        <v>158</v>
      </c>
      <c r="B174" s="132" t="s">
        <v>293</v>
      </c>
      <c r="C174" s="43">
        <v>2011</v>
      </c>
      <c r="D174" s="17">
        <v>2274073.6100000003</v>
      </c>
      <c r="E174" s="17">
        <f t="shared" si="6"/>
        <v>2274073.6100000003</v>
      </c>
      <c r="F174" s="17"/>
      <c r="G174" s="17"/>
      <c r="H174" s="26">
        <f t="shared" si="1"/>
        <v>2274073.6100000003</v>
      </c>
      <c r="I174" s="17"/>
      <c r="J174" s="1"/>
    </row>
    <row r="175" spans="1:10" x14ac:dyDescent="0.25">
      <c r="A175" s="43">
        <f t="shared" si="7"/>
        <v>159</v>
      </c>
      <c r="B175" s="132" t="s">
        <v>294</v>
      </c>
      <c r="C175" s="43">
        <v>2011</v>
      </c>
      <c r="D175" s="17">
        <v>1536917.9000000001</v>
      </c>
      <c r="E175" s="17">
        <f t="shared" si="6"/>
        <v>1536917.9000000001</v>
      </c>
      <c r="F175" s="17"/>
      <c r="G175" s="17"/>
      <c r="H175" s="26">
        <f t="shared" si="1"/>
        <v>1536917.9000000001</v>
      </c>
      <c r="I175" s="17"/>
      <c r="J175" s="1"/>
    </row>
    <row r="176" spans="1:10" x14ac:dyDescent="0.25">
      <c r="A176" s="43">
        <f t="shared" si="7"/>
        <v>160</v>
      </c>
      <c r="B176" s="132" t="s">
        <v>295</v>
      </c>
      <c r="C176" s="43">
        <v>2012</v>
      </c>
      <c r="D176" s="17">
        <v>1806407.3</v>
      </c>
      <c r="E176" s="17">
        <f t="shared" si="6"/>
        <v>1806407.3</v>
      </c>
      <c r="F176" s="17"/>
      <c r="G176" s="17"/>
      <c r="H176" s="26">
        <f t="shared" si="1"/>
        <v>1806407.3</v>
      </c>
      <c r="I176" s="17"/>
      <c r="J176" s="1"/>
    </row>
    <row r="177" spans="1:10" x14ac:dyDescent="0.25">
      <c r="A177" s="43">
        <f t="shared" si="7"/>
        <v>161</v>
      </c>
      <c r="B177" s="132" t="s">
        <v>296</v>
      </c>
      <c r="C177" s="43">
        <v>2012</v>
      </c>
      <c r="D177" s="17">
        <v>2106315.67</v>
      </c>
      <c r="E177" s="17">
        <f t="shared" si="6"/>
        <v>2106315.67</v>
      </c>
      <c r="F177" s="17"/>
      <c r="G177" s="17"/>
      <c r="H177" s="26">
        <f t="shared" si="1"/>
        <v>2106315.67</v>
      </c>
      <c r="I177" s="17"/>
      <c r="J177" s="1"/>
    </row>
    <row r="178" spans="1:10" x14ac:dyDescent="0.25">
      <c r="A178" s="43">
        <f t="shared" si="7"/>
        <v>162</v>
      </c>
      <c r="B178" s="132" t="s">
        <v>297</v>
      </c>
      <c r="C178" s="43">
        <v>2012</v>
      </c>
      <c r="D178" s="17">
        <v>2154595.9700000002</v>
      </c>
      <c r="E178" s="17">
        <f t="shared" si="6"/>
        <v>2154595.9700000002</v>
      </c>
      <c r="F178" s="17"/>
      <c r="G178" s="17"/>
      <c r="H178" s="26">
        <f t="shared" si="1"/>
        <v>2154595.9700000002</v>
      </c>
      <c r="I178" s="17"/>
      <c r="J178" s="1"/>
    </row>
    <row r="179" spans="1:10" x14ac:dyDescent="0.25">
      <c r="A179" s="43">
        <f t="shared" si="7"/>
        <v>163</v>
      </c>
      <c r="B179" s="132" t="s">
        <v>298</v>
      </c>
      <c r="C179" s="43">
        <v>2012</v>
      </c>
      <c r="D179" s="17">
        <v>1875620.25</v>
      </c>
      <c r="E179" s="17">
        <f t="shared" si="6"/>
        <v>1875620.25</v>
      </c>
      <c r="F179" s="17"/>
      <c r="G179" s="17"/>
      <c r="H179" s="26">
        <f t="shared" si="1"/>
        <v>1875620.25</v>
      </c>
      <c r="I179" s="17"/>
      <c r="J179" s="1"/>
    </row>
    <row r="180" spans="1:10" x14ac:dyDescent="0.25">
      <c r="A180" s="43">
        <f t="shared" si="7"/>
        <v>164</v>
      </c>
      <c r="B180" s="132" t="s">
        <v>299</v>
      </c>
      <c r="C180" s="43">
        <v>2012</v>
      </c>
      <c r="D180" s="17">
        <v>2176697.4</v>
      </c>
      <c r="E180" s="17">
        <f t="shared" si="6"/>
        <v>2176697.4</v>
      </c>
      <c r="F180" s="17"/>
      <c r="G180" s="17"/>
      <c r="H180" s="26">
        <f t="shared" si="1"/>
        <v>2176697.4</v>
      </c>
      <c r="I180" s="17"/>
      <c r="J180" s="1"/>
    </row>
    <row r="181" spans="1:10" x14ac:dyDescent="0.25">
      <c r="A181" s="43">
        <f t="shared" si="7"/>
        <v>165</v>
      </c>
      <c r="B181" s="132" t="s">
        <v>300</v>
      </c>
      <c r="C181" s="43">
        <v>2012</v>
      </c>
      <c r="D181" s="17">
        <v>1875620.25</v>
      </c>
      <c r="E181" s="17">
        <f t="shared" si="6"/>
        <v>1875620.25</v>
      </c>
      <c r="F181" s="17"/>
      <c r="G181" s="17"/>
      <c r="H181" s="26">
        <f t="shared" si="1"/>
        <v>1875620.25</v>
      </c>
      <c r="I181" s="17"/>
      <c r="J181" s="1"/>
    </row>
    <row r="182" spans="1:10" x14ac:dyDescent="0.25">
      <c r="A182" s="43">
        <f t="shared" si="7"/>
        <v>166</v>
      </c>
      <c r="B182" s="132" t="s">
        <v>289</v>
      </c>
      <c r="C182" s="43">
        <v>2012</v>
      </c>
      <c r="D182" s="17">
        <v>1875620.25</v>
      </c>
      <c r="E182" s="17">
        <f t="shared" si="6"/>
        <v>1875620.25</v>
      </c>
      <c r="F182" s="17"/>
      <c r="G182" s="17"/>
      <c r="H182" s="26">
        <f t="shared" si="1"/>
        <v>1875620.25</v>
      </c>
      <c r="I182" s="17"/>
      <c r="J182" s="1"/>
    </row>
    <row r="183" spans="1:10" x14ac:dyDescent="0.25">
      <c r="A183" s="43">
        <f t="shared" si="7"/>
        <v>167</v>
      </c>
      <c r="B183" s="132" t="s">
        <v>290</v>
      </c>
      <c r="C183" s="43">
        <v>2012</v>
      </c>
      <c r="D183" s="17">
        <v>1875620.25</v>
      </c>
      <c r="E183" s="17">
        <f t="shared" si="6"/>
        <v>1875620.25</v>
      </c>
      <c r="F183" s="17"/>
      <c r="G183" s="17"/>
      <c r="H183" s="26">
        <f t="shared" si="1"/>
        <v>1875620.25</v>
      </c>
      <c r="I183" s="17"/>
      <c r="J183" s="1"/>
    </row>
    <row r="184" spans="1:10" x14ac:dyDescent="0.25">
      <c r="A184" s="43">
        <f t="shared" si="7"/>
        <v>168</v>
      </c>
      <c r="B184" s="132" t="s">
        <v>291</v>
      </c>
      <c r="C184" s="43">
        <v>2012</v>
      </c>
      <c r="D184" s="17">
        <v>1875620.25</v>
      </c>
      <c r="E184" s="17">
        <f t="shared" si="6"/>
        <v>1875620.25</v>
      </c>
      <c r="F184" s="17"/>
      <c r="G184" s="17"/>
      <c r="H184" s="26">
        <f t="shared" si="1"/>
        <v>1875620.25</v>
      </c>
      <c r="I184" s="17"/>
      <c r="J184" s="1"/>
    </row>
    <row r="185" spans="1:10" x14ac:dyDescent="0.25">
      <c r="A185" s="43">
        <f t="shared" si="7"/>
        <v>169</v>
      </c>
      <c r="B185" s="132" t="s">
        <v>292</v>
      </c>
      <c r="C185" s="43">
        <v>2012</v>
      </c>
      <c r="D185" s="17">
        <v>1875620.25</v>
      </c>
      <c r="E185" s="17">
        <f t="shared" si="6"/>
        <v>1875620.25</v>
      </c>
      <c r="F185" s="17"/>
      <c r="G185" s="17"/>
      <c r="H185" s="26">
        <f t="shared" si="1"/>
        <v>1875620.25</v>
      </c>
      <c r="I185" s="17"/>
      <c r="J185" s="1"/>
    </row>
    <row r="186" spans="1:10" x14ac:dyDescent="0.25">
      <c r="A186" s="43">
        <f t="shared" si="7"/>
        <v>170</v>
      </c>
      <c r="B186" s="132" t="s">
        <v>293</v>
      </c>
      <c r="C186" s="43">
        <v>2012</v>
      </c>
      <c r="D186" s="17">
        <v>1875620.25</v>
      </c>
      <c r="E186" s="17">
        <f t="shared" si="6"/>
        <v>1875620.25</v>
      </c>
      <c r="F186" s="17"/>
      <c r="G186" s="17"/>
      <c r="H186" s="26">
        <f t="shared" si="1"/>
        <v>1875620.25</v>
      </c>
      <c r="I186" s="17"/>
      <c r="J186" s="1"/>
    </row>
    <row r="187" spans="1:10" x14ac:dyDescent="0.25">
      <c r="A187" s="43">
        <f t="shared" si="7"/>
        <v>171</v>
      </c>
      <c r="B187" s="132" t="s">
        <v>294</v>
      </c>
      <c r="C187" s="43">
        <v>2012</v>
      </c>
      <c r="D187" s="17">
        <v>1875620.25</v>
      </c>
      <c r="E187" s="17">
        <f t="shared" si="6"/>
        <v>1875620.25</v>
      </c>
      <c r="F187" s="17"/>
      <c r="G187" s="17"/>
      <c r="H187" s="26">
        <f t="shared" si="1"/>
        <v>1875620.25</v>
      </c>
      <c r="I187" s="17"/>
      <c r="J187" s="1"/>
    </row>
    <row r="188" spans="1:10" x14ac:dyDescent="0.25">
      <c r="A188" s="43">
        <f t="shared" si="7"/>
        <v>172</v>
      </c>
      <c r="B188" s="132" t="s">
        <v>295</v>
      </c>
      <c r="C188" s="43">
        <v>2013</v>
      </c>
      <c r="D188" s="17">
        <v>4082938.7800000003</v>
      </c>
      <c r="E188" s="17">
        <f t="shared" si="6"/>
        <v>4082938.7800000003</v>
      </c>
      <c r="F188" s="17"/>
      <c r="G188" s="17"/>
      <c r="H188" s="26">
        <f t="shared" si="1"/>
        <v>4082938.7800000003</v>
      </c>
      <c r="I188" s="17"/>
      <c r="J188" s="1"/>
    </row>
    <row r="189" spans="1:10" x14ac:dyDescent="0.25">
      <c r="A189" s="43">
        <f t="shared" si="7"/>
        <v>173</v>
      </c>
      <c r="B189" s="132" t="s">
        <v>296</v>
      </c>
      <c r="C189" s="43">
        <v>2013</v>
      </c>
      <c r="D189" s="17">
        <v>2150841.62</v>
      </c>
      <c r="E189" s="17">
        <f t="shared" si="6"/>
        <v>2150841.62</v>
      </c>
      <c r="F189" s="17"/>
      <c r="G189" s="17"/>
      <c r="H189" s="26">
        <f t="shared" si="1"/>
        <v>2150841.62</v>
      </c>
      <c r="I189" s="17"/>
      <c r="J189" s="1"/>
    </row>
    <row r="190" spans="1:10" x14ac:dyDescent="0.25">
      <c r="A190" s="43">
        <f t="shared" si="7"/>
        <v>174</v>
      </c>
      <c r="B190" s="132" t="s">
        <v>297</v>
      </c>
      <c r="C190" s="43">
        <v>2013</v>
      </c>
      <c r="D190" s="17">
        <v>2239875.21</v>
      </c>
      <c r="E190" s="17">
        <f t="shared" si="6"/>
        <v>2239875.21</v>
      </c>
      <c r="F190" s="17"/>
      <c r="G190" s="17"/>
      <c r="H190" s="26">
        <f t="shared" si="1"/>
        <v>2239875.21</v>
      </c>
      <c r="I190" s="17"/>
      <c r="J190" s="1"/>
    </row>
    <row r="191" spans="1:10" x14ac:dyDescent="0.25">
      <c r="A191" s="43">
        <f t="shared" si="7"/>
        <v>175</v>
      </c>
      <c r="B191" s="132" t="s">
        <v>298</v>
      </c>
      <c r="C191" s="43">
        <v>2013</v>
      </c>
      <c r="D191" s="17">
        <v>1980657.53</v>
      </c>
      <c r="E191" s="17">
        <f t="shared" si="6"/>
        <v>1980657.53</v>
      </c>
      <c r="F191" s="17"/>
      <c r="G191" s="17"/>
      <c r="H191" s="26">
        <f t="shared" si="1"/>
        <v>1980657.53</v>
      </c>
      <c r="I191" s="17"/>
      <c r="J191" s="1"/>
    </row>
    <row r="192" spans="1:10" x14ac:dyDescent="0.25">
      <c r="A192" s="43">
        <f t="shared" si="7"/>
        <v>176</v>
      </c>
      <c r="B192" s="132" t="s">
        <v>299</v>
      </c>
      <c r="C192" s="43">
        <v>2013</v>
      </c>
      <c r="D192" s="17">
        <v>2196042.9</v>
      </c>
      <c r="E192" s="17">
        <f t="shared" si="6"/>
        <v>2196042.9</v>
      </c>
      <c r="F192" s="17"/>
      <c r="G192" s="17"/>
      <c r="H192" s="26">
        <f t="shared" si="1"/>
        <v>2196042.9</v>
      </c>
      <c r="I192" s="17"/>
      <c r="J192" s="1"/>
    </row>
    <row r="193" spans="1:10" x14ac:dyDescent="0.25">
      <c r="A193" s="43">
        <f t="shared" si="7"/>
        <v>177</v>
      </c>
      <c r="B193" s="132" t="s">
        <v>300</v>
      </c>
      <c r="C193" s="43">
        <v>2013</v>
      </c>
      <c r="D193" s="17">
        <v>2168899.6</v>
      </c>
      <c r="E193" s="17">
        <f t="shared" si="6"/>
        <v>2168899.6</v>
      </c>
      <c r="F193" s="17"/>
      <c r="G193" s="17"/>
      <c r="H193" s="26">
        <f t="shared" si="1"/>
        <v>2168899.6</v>
      </c>
      <c r="I193" s="17"/>
      <c r="J193" s="1"/>
    </row>
    <row r="194" spans="1:10" x14ac:dyDescent="0.25">
      <c r="A194" s="43">
        <f t="shared" si="7"/>
        <v>178</v>
      </c>
      <c r="B194" s="132" t="s">
        <v>289</v>
      </c>
      <c r="C194" s="43">
        <v>2013</v>
      </c>
      <c r="D194" s="17">
        <v>2110573.14</v>
      </c>
      <c r="E194" s="17">
        <f t="shared" si="6"/>
        <v>2110573.14</v>
      </c>
      <c r="F194" s="17"/>
      <c r="G194" s="17"/>
      <c r="H194" s="26">
        <f t="shared" si="1"/>
        <v>2110573.14</v>
      </c>
      <c r="I194" s="17"/>
      <c r="J194" s="1"/>
    </row>
    <row r="195" spans="1:10" x14ac:dyDescent="0.25">
      <c r="A195" s="43">
        <f t="shared" si="7"/>
        <v>179</v>
      </c>
      <c r="B195" s="132" t="s">
        <v>290</v>
      </c>
      <c r="C195" s="43">
        <v>2013</v>
      </c>
      <c r="D195" s="17">
        <v>2447381.96</v>
      </c>
      <c r="E195" s="17">
        <f t="shared" si="6"/>
        <v>2447381.96</v>
      </c>
      <c r="F195" s="17"/>
      <c r="G195" s="17"/>
      <c r="H195" s="26">
        <f t="shared" si="1"/>
        <v>2447381.96</v>
      </c>
      <c r="I195" s="17"/>
      <c r="J195" s="1"/>
    </row>
    <row r="196" spans="1:10" x14ac:dyDescent="0.25">
      <c r="A196" s="43">
        <f t="shared" si="7"/>
        <v>180</v>
      </c>
      <c r="B196" s="132" t="s">
        <v>291</v>
      </c>
      <c r="C196" s="43">
        <v>2013</v>
      </c>
      <c r="D196" s="17">
        <v>2368634.4700000002</v>
      </c>
      <c r="E196" s="17">
        <f t="shared" si="6"/>
        <v>2368634.4700000002</v>
      </c>
      <c r="F196" s="17"/>
      <c r="G196" s="17"/>
      <c r="H196" s="26">
        <f t="shared" si="1"/>
        <v>2368634.4700000002</v>
      </c>
      <c r="I196" s="17"/>
      <c r="J196" s="1"/>
    </row>
    <row r="197" spans="1:10" x14ac:dyDescent="0.25">
      <c r="A197" s="43">
        <f t="shared" si="7"/>
        <v>181</v>
      </c>
      <c r="B197" s="132" t="s">
        <v>292</v>
      </c>
      <c r="C197" s="43">
        <v>2013</v>
      </c>
      <c r="D197" s="17">
        <v>2211511.81</v>
      </c>
      <c r="E197" s="17">
        <f t="shared" si="6"/>
        <v>2211511.81</v>
      </c>
      <c r="F197" s="17"/>
      <c r="G197" s="17"/>
      <c r="H197" s="26">
        <f t="shared" si="1"/>
        <v>2211511.81</v>
      </c>
      <c r="I197" s="17"/>
      <c r="J197" s="1"/>
    </row>
    <row r="198" spans="1:10" x14ac:dyDescent="0.25">
      <c r="A198" s="43">
        <f t="shared" si="7"/>
        <v>182</v>
      </c>
      <c r="B198" s="132" t="s">
        <v>293</v>
      </c>
      <c r="C198" s="43">
        <v>2013</v>
      </c>
      <c r="D198" s="17">
        <v>2277076.9700000002</v>
      </c>
      <c r="E198" s="17">
        <f t="shared" si="6"/>
        <v>2277076.9700000002</v>
      </c>
      <c r="F198" s="17"/>
      <c r="G198" s="17"/>
      <c r="H198" s="26">
        <f t="shared" si="1"/>
        <v>2277076.9700000002</v>
      </c>
      <c r="I198" s="17"/>
      <c r="J198" s="1"/>
    </row>
    <row r="199" spans="1:10" x14ac:dyDescent="0.25">
      <c r="A199" s="43">
        <f t="shared" si="7"/>
        <v>183</v>
      </c>
      <c r="B199" s="132" t="s">
        <v>294</v>
      </c>
      <c r="C199" s="43">
        <v>2013</v>
      </c>
      <c r="D199" s="17">
        <v>2201056.63</v>
      </c>
      <c r="E199" s="17">
        <f t="shared" si="6"/>
        <v>2201056.63</v>
      </c>
      <c r="F199" s="17"/>
      <c r="G199" s="17"/>
      <c r="H199" s="26">
        <f t="shared" si="1"/>
        <v>2201056.63</v>
      </c>
      <c r="I199" s="17"/>
      <c r="J199" s="1"/>
    </row>
    <row r="200" spans="1:10" x14ac:dyDescent="0.25">
      <c r="A200" s="43">
        <f t="shared" si="7"/>
        <v>184</v>
      </c>
      <c r="B200" s="132" t="s">
        <v>295</v>
      </c>
      <c r="C200" s="43">
        <v>2014</v>
      </c>
      <c r="D200" s="17">
        <v>2388020.04</v>
      </c>
      <c r="E200" s="17">
        <f t="shared" si="6"/>
        <v>2388020.04</v>
      </c>
      <c r="F200" s="17"/>
      <c r="G200" s="17"/>
      <c r="H200" s="26">
        <f t="shared" si="1"/>
        <v>2388020.04</v>
      </c>
      <c r="I200" s="17"/>
      <c r="J200" s="1"/>
    </row>
    <row r="201" spans="1:10" x14ac:dyDescent="0.25">
      <c r="A201" s="43">
        <f t="shared" si="7"/>
        <v>185</v>
      </c>
      <c r="B201" s="132" t="s">
        <v>296</v>
      </c>
      <c r="C201" s="43">
        <v>2014</v>
      </c>
      <c r="D201" s="17">
        <v>2398436.54</v>
      </c>
      <c r="E201" s="17">
        <f t="shared" si="6"/>
        <v>2398436.54</v>
      </c>
      <c r="F201" s="17"/>
      <c r="G201" s="17"/>
      <c r="H201" s="26">
        <f t="shared" si="1"/>
        <v>2398436.54</v>
      </c>
      <c r="I201" s="17"/>
      <c r="J201" s="1"/>
    </row>
    <row r="202" spans="1:10" x14ac:dyDescent="0.25">
      <c r="A202" s="43">
        <f t="shared" si="7"/>
        <v>186</v>
      </c>
      <c r="B202" s="132" t="s">
        <v>297</v>
      </c>
      <c r="C202" s="43">
        <v>2014</v>
      </c>
      <c r="D202" s="17">
        <v>2320177.19</v>
      </c>
      <c r="E202" s="17">
        <f t="shared" si="6"/>
        <v>2320177.19</v>
      </c>
      <c r="F202" s="17"/>
      <c r="G202" s="17"/>
      <c r="H202" s="26">
        <f t="shared" si="1"/>
        <v>2320177.19</v>
      </c>
      <c r="I202" s="17"/>
      <c r="J202" s="1"/>
    </row>
    <row r="203" spans="1:10" x14ac:dyDescent="0.25">
      <c r="A203" s="43">
        <f t="shared" si="7"/>
        <v>187</v>
      </c>
      <c r="B203" s="132" t="s">
        <v>298</v>
      </c>
      <c r="C203" s="43">
        <v>2014</v>
      </c>
      <c r="D203" s="17">
        <v>3298603.66</v>
      </c>
      <c r="E203" s="17">
        <f t="shared" si="6"/>
        <v>3298603.66</v>
      </c>
      <c r="F203" s="17"/>
      <c r="G203" s="17"/>
      <c r="H203" s="26">
        <f t="shared" si="1"/>
        <v>3298603.66</v>
      </c>
      <c r="I203" s="17"/>
      <c r="J203" s="1"/>
    </row>
    <row r="204" spans="1:10" x14ac:dyDescent="0.25">
      <c r="A204" s="43">
        <f t="shared" si="7"/>
        <v>188</v>
      </c>
      <c r="B204" s="132" t="s">
        <v>299</v>
      </c>
      <c r="C204" s="43">
        <v>2014</v>
      </c>
      <c r="D204" s="17">
        <v>2313014.3000000003</v>
      </c>
      <c r="E204" s="17">
        <f t="shared" si="6"/>
        <v>2313014.3000000003</v>
      </c>
      <c r="F204" s="17"/>
      <c r="G204" s="17"/>
      <c r="H204" s="26">
        <f t="shared" si="1"/>
        <v>2313014.3000000003</v>
      </c>
      <c r="I204" s="17"/>
      <c r="J204" s="1"/>
    </row>
    <row r="205" spans="1:10" x14ac:dyDescent="0.25">
      <c r="A205" s="43">
        <f t="shared" si="7"/>
        <v>189</v>
      </c>
      <c r="B205" s="132" t="s">
        <v>300</v>
      </c>
      <c r="C205" s="43">
        <v>2014</v>
      </c>
      <c r="D205" s="17">
        <v>2391541.62</v>
      </c>
      <c r="E205" s="17">
        <f t="shared" si="6"/>
        <v>2391541.62</v>
      </c>
      <c r="F205" s="17"/>
      <c r="G205" s="17"/>
      <c r="H205" s="26">
        <f t="shared" si="1"/>
        <v>2391541.62</v>
      </c>
      <c r="I205" s="17"/>
      <c r="J205" s="1"/>
    </row>
    <row r="206" spans="1:10" x14ac:dyDescent="0.25">
      <c r="A206" s="43">
        <f t="shared" si="7"/>
        <v>190</v>
      </c>
      <c r="B206" s="132" t="s">
        <v>289</v>
      </c>
      <c r="C206" s="43">
        <v>2014</v>
      </c>
      <c r="D206" s="17">
        <v>2285720.94</v>
      </c>
      <c r="E206" s="17">
        <f t="shared" si="6"/>
        <v>2285720.94</v>
      </c>
      <c r="F206" s="17"/>
      <c r="G206" s="17"/>
      <c r="H206" s="26">
        <f t="shared" si="1"/>
        <v>2285720.94</v>
      </c>
      <c r="I206" s="17"/>
      <c r="J206" s="1"/>
    </row>
    <row r="207" spans="1:10" x14ac:dyDescent="0.25">
      <c r="A207" s="43">
        <f t="shared" si="7"/>
        <v>191</v>
      </c>
      <c r="B207" s="132" t="s">
        <v>290</v>
      </c>
      <c r="C207" s="43">
        <v>2014</v>
      </c>
      <c r="D207" s="17">
        <v>2458375.33</v>
      </c>
      <c r="E207" s="17">
        <f t="shared" si="6"/>
        <v>2458375.33</v>
      </c>
      <c r="F207" s="17"/>
      <c r="G207" s="17"/>
      <c r="H207" s="26">
        <f t="shared" si="1"/>
        <v>2458375.33</v>
      </c>
      <c r="I207" s="17"/>
      <c r="J207" s="1"/>
    </row>
    <row r="208" spans="1:10" x14ac:dyDescent="0.25">
      <c r="A208" s="43">
        <f t="shared" si="7"/>
        <v>192</v>
      </c>
      <c r="B208" s="132" t="s">
        <v>291</v>
      </c>
      <c r="C208" s="43">
        <v>2014</v>
      </c>
      <c r="D208" s="17">
        <v>2317258.7400000002</v>
      </c>
      <c r="E208" s="17">
        <f t="shared" si="6"/>
        <v>2317258.7400000002</v>
      </c>
      <c r="F208" s="17"/>
      <c r="G208" s="17"/>
      <c r="H208" s="26">
        <f t="shared" si="1"/>
        <v>2317258.7400000002</v>
      </c>
      <c r="I208" s="17"/>
      <c r="J208" s="1"/>
    </row>
    <row r="209" spans="1:10" x14ac:dyDescent="0.25">
      <c r="A209" s="43">
        <f t="shared" si="7"/>
        <v>193</v>
      </c>
      <c r="B209" s="132" t="s">
        <v>292</v>
      </c>
      <c r="C209" s="43">
        <v>2014</v>
      </c>
      <c r="D209" s="17">
        <v>2274357.31</v>
      </c>
      <c r="E209" s="17">
        <f t="shared" si="6"/>
        <v>2274357.31</v>
      </c>
      <c r="F209" s="17"/>
      <c r="G209" s="17"/>
      <c r="H209" s="26">
        <f t="shared" si="1"/>
        <v>2274357.31</v>
      </c>
      <c r="I209" s="17"/>
      <c r="J209" s="1"/>
    </row>
    <row r="210" spans="1:10" x14ac:dyDescent="0.25">
      <c r="A210" s="43">
        <f t="shared" si="7"/>
        <v>194</v>
      </c>
      <c r="B210" s="132" t="s">
        <v>293</v>
      </c>
      <c r="C210" s="43">
        <v>2014</v>
      </c>
      <c r="D210" s="17">
        <v>2468689.5</v>
      </c>
      <c r="E210" s="17">
        <f t="shared" si="6"/>
        <v>2468689.5</v>
      </c>
      <c r="F210" s="17"/>
      <c r="G210" s="17"/>
      <c r="H210" s="26">
        <f t="shared" si="1"/>
        <v>2468689.5</v>
      </c>
      <c r="I210" s="17"/>
      <c r="J210" s="1"/>
    </row>
    <row r="211" spans="1:10" x14ac:dyDescent="0.25">
      <c r="A211" s="43">
        <f t="shared" si="7"/>
        <v>195</v>
      </c>
      <c r="B211" s="132" t="s">
        <v>294</v>
      </c>
      <c r="C211" s="43">
        <v>2014</v>
      </c>
      <c r="D211" s="17">
        <v>2134102.52</v>
      </c>
      <c r="E211" s="17">
        <f t="shared" ref="E211:E273" si="8">D211</f>
        <v>2134102.52</v>
      </c>
      <c r="F211" s="17"/>
      <c r="G211" s="17"/>
      <c r="H211" s="26">
        <f t="shared" si="1"/>
        <v>2134102.52</v>
      </c>
      <c r="I211" s="17"/>
      <c r="J211" s="1"/>
    </row>
    <row r="212" spans="1:10" x14ac:dyDescent="0.25">
      <c r="A212" s="43">
        <f t="shared" ref="A212:A275" si="9">A211+1</f>
        <v>196</v>
      </c>
      <c r="B212" s="132" t="s">
        <v>295</v>
      </c>
      <c r="C212" s="43">
        <v>2015</v>
      </c>
      <c r="D212" s="17">
        <v>2107638.86</v>
      </c>
      <c r="E212" s="17">
        <f t="shared" si="8"/>
        <v>2107638.86</v>
      </c>
      <c r="F212" s="17"/>
      <c r="G212" s="17"/>
      <c r="H212" s="26">
        <f t="shared" si="1"/>
        <v>2107638.86</v>
      </c>
      <c r="I212" s="17"/>
      <c r="J212" s="1"/>
    </row>
    <row r="213" spans="1:10" x14ac:dyDescent="0.25">
      <c r="A213" s="43">
        <f t="shared" si="9"/>
        <v>197</v>
      </c>
      <c r="B213" s="132" t="s">
        <v>296</v>
      </c>
      <c r="C213" s="43">
        <v>2015</v>
      </c>
      <c r="D213" s="17">
        <v>1952171.3800000001</v>
      </c>
      <c r="E213" s="17">
        <f t="shared" si="8"/>
        <v>1952171.3800000001</v>
      </c>
      <c r="F213" s="17"/>
      <c r="G213" s="17"/>
      <c r="H213" s="26">
        <f t="shared" si="1"/>
        <v>1952171.3800000001</v>
      </c>
      <c r="I213" s="17"/>
      <c r="J213" s="1"/>
    </row>
    <row r="214" spans="1:10" x14ac:dyDescent="0.25">
      <c r="A214" s="43">
        <f t="shared" si="9"/>
        <v>198</v>
      </c>
      <c r="B214" s="132" t="s">
        <v>297</v>
      </c>
      <c r="C214" s="43">
        <v>2015</v>
      </c>
      <c r="D214" s="17">
        <v>2086607.99</v>
      </c>
      <c r="E214" s="17">
        <f t="shared" si="8"/>
        <v>2086607.99</v>
      </c>
      <c r="F214" s="17"/>
      <c r="G214" s="17"/>
      <c r="H214" s="26">
        <f t="shared" si="1"/>
        <v>2086607.99</v>
      </c>
      <c r="I214" s="17"/>
      <c r="J214" s="1"/>
    </row>
    <row r="215" spans="1:10" x14ac:dyDescent="0.25">
      <c r="A215" s="43">
        <f t="shared" si="9"/>
        <v>199</v>
      </c>
      <c r="B215" s="132" t="s">
        <v>298</v>
      </c>
      <c r="C215" s="43">
        <v>2015</v>
      </c>
      <c r="D215" s="17">
        <v>2017881.04</v>
      </c>
      <c r="E215" s="17">
        <f t="shared" si="8"/>
        <v>2017881.04</v>
      </c>
      <c r="F215" s="17"/>
      <c r="G215" s="17"/>
      <c r="H215" s="26">
        <f t="shared" si="1"/>
        <v>2017881.04</v>
      </c>
      <c r="I215" s="17"/>
      <c r="J215" s="1"/>
    </row>
    <row r="216" spans="1:10" x14ac:dyDescent="0.25">
      <c r="A216" s="43">
        <f t="shared" si="9"/>
        <v>200</v>
      </c>
      <c r="B216" s="132" t="s">
        <v>299</v>
      </c>
      <c r="C216" s="43">
        <v>2015</v>
      </c>
      <c r="D216" s="17">
        <v>2161088.5500000003</v>
      </c>
      <c r="E216" s="17">
        <f t="shared" si="8"/>
        <v>2161088.5500000003</v>
      </c>
      <c r="F216" s="17"/>
      <c r="G216" s="17"/>
      <c r="H216" s="26">
        <f t="shared" si="1"/>
        <v>2161088.5500000003</v>
      </c>
      <c r="I216" s="17"/>
      <c r="J216" s="1"/>
    </row>
    <row r="217" spans="1:10" x14ac:dyDescent="0.25">
      <c r="A217" s="43">
        <f t="shared" si="9"/>
        <v>201</v>
      </c>
      <c r="B217" s="132" t="s">
        <v>300</v>
      </c>
      <c r="C217" s="43">
        <v>2015</v>
      </c>
      <c r="D217" s="17">
        <v>2122732.64</v>
      </c>
      <c r="E217" s="17">
        <f t="shared" si="8"/>
        <v>2122732.64</v>
      </c>
      <c r="F217" s="17"/>
      <c r="G217" s="17"/>
      <c r="H217" s="26">
        <f t="shared" si="1"/>
        <v>2122732.64</v>
      </c>
      <c r="I217" s="17"/>
      <c r="J217" s="1"/>
    </row>
    <row r="218" spans="1:10" x14ac:dyDescent="0.25">
      <c r="A218" s="43">
        <f t="shared" si="9"/>
        <v>202</v>
      </c>
      <c r="B218" s="132" t="s">
        <v>289</v>
      </c>
      <c r="C218" s="43">
        <v>2015</v>
      </c>
      <c r="D218" s="17">
        <v>2192838.52</v>
      </c>
      <c r="E218" s="17">
        <f t="shared" si="8"/>
        <v>2192838.52</v>
      </c>
      <c r="F218" s="17"/>
      <c r="G218" s="17"/>
      <c r="H218" s="26">
        <f t="shared" si="1"/>
        <v>2192838.52</v>
      </c>
      <c r="I218" s="17"/>
      <c r="J218" s="1"/>
    </row>
    <row r="219" spans="1:10" x14ac:dyDescent="0.25">
      <c r="A219" s="43">
        <f t="shared" si="9"/>
        <v>203</v>
      </c>
      <c r="B219" s="132" t="s">
        <v>290</v>
      </c>
      <c r="C219" s="43">
        <v>2015</v>
      </c>
      <c r="D219" s="17">
        <v>2199371.3600000003</v>
      </c>
      <c r="E219" s="17">
        <f t="shared" si="8"/>
        <v>2199371.3600000003</v>
      </c>
      <c r="F219" s="17"/>
      <c r="G219" s="17"/>
      <c r="H219" s="26">
        <f t="shared" si="1"/>
        <v>2199371.3600000003</v>
      </c>
      <c r="I219" s="17"/>
      <c r="J219" s="1"/>
    </row>
    <row r="220" spans="1:10" x14ac:dyDescent="0.25">
      <c r="A220" s="43">
        <f t="shared" si="9"/>
        <v>204</v>
      </c>
      <c r="B220" s="132" t="s">
        <v>291</v>
      </c>
      <c r="C220" s="43">
        <v>2015</v>
      </c>
      <c r="D220" s="17">
        <v>2074797.9700000004</v>
      </c>
      <c r="E220" s="17">
        <f t="shared" si="8"/>
        <v>2074797.9700000004</v>
      </c>
      <c r="F220" s="17"/>
      <c r="G220" s="17"/>
      <c r="H220" s="26">
        <f t="shared" si="1"/>
        <v>2074797.9700000004</v>
      </c>
      <c r="I220" s="17"/>
      <c r="J220" s="1"/>
    </row>
    <row r="221" spans="1:10" x14ac:dyDescent="0.25">
      <c r="A221" s="43">
        <f t="shared" si="9"/>
        <v>205</v>
      </c>
      <c r="B221" s="132" t="s">
        <v>292</v>
      </c>
      <c r="C221" s="43">
        <v>2015</v>
      </c>
      <c r="D221" s="17">
        <v>2202679.64</v>
      </c>
      <c r="E221" s="17">
        <f t="shared" si="8"/>
        <v>2202679.64</v>
      </c>
      <c r="F221" s="17"/>
      <c r="G221" s="17"/>
      <c r="H221" s="26">
        <f t="shared" si="1"/>
        <v>2202679.64</v>
      </c>
      <c r="I221" s="17"/>
      <c r="J221" s="1"/>
    </row>
    <row r="222" spans="1:10" x14ac:dyDescent="0.25">
      <c r="A222" s="43">
        <f t="shared" si="9"/>
        <v>206</v>
      </c>
      <c r="B222" s="132" t="s">
        <v>293</v>
      </c>
      <c r="C222" s="43">
        <v>2015</v>
      </c>
      <c r="D222" s="17">
        <v>2024796.82</v>
      </c>
      <c r="E222" s="17">
        <f t="shared" si="8"/>
        <v>2024796.82</v>
      </c>
      <c r="F222" s="17"/>
      <c r="G222" s="17"/>
      <c r="H222" s="26">
        <f t="shared" si="1"/>
        <v>2024796.82</v>
      </c>
      <c r="I222" s="17"/>
      <c r="J222" s="1"/>
    </row>
    <row r="223" spans="1:10" x14ac:dyDescent="0.25">
      <c r="A223" s="43">
        <f t="shared" si="9"/>
        <v>207</v>
      </c>
      <c r="B223" s="132" t="s">
        <v>294</v>
      </c>
      <c r="C223" s="43">
        <v>2015</v>
      </c>
      <c r="D223" s="17">
        <v>2310534.5700000003</v>
      </c>
      <c r="E223" s="17">
        <f t="shared" si="8"/>
        <v>2310534.5700000003</v>
      </c>
      <c r="F223" s="17"/>
      <c r="G223" s="17"/>
      <c r="H223" s="26">
        <f t="shared" si="1"/>
        <v>2310534.5700000003</v>
      </c>
      <c r="I223" s="17"/>
      <c r="J223" s="1"/>
    </row>
    <row r="224" spans="1:10" x14ac:dyDescent="0.25">
      <c r="A224" s="43">
        <f t="shared" si="9"/>
        <v>208</v>
      </c>
      <c r="B224" s="132" t="s">
        <v>295</v>
      </c>
      <c r="C224" s="43">
        <v>2016</v>
      </c>
      <c r="D224" s="17">
        <v>2252293.2000000002</v>
      </c>
      <c r="E224" s="17">
        <f t="shared" si="8"/>
        <v>2252293.2000000002</v>
      </c>
      <c r="F224" s="17"/>
      <c r="G224" s="17"/>
      <c r="H224" s="26">
        <f t="shared" si="1"/>
        <v>2252293.2000000002</v>
      </c>
      <c r="I224" s="17"/>
      <c r="J224" s="1"/>
    </row>
    <row r="225" spans="1:10" x14ac:dyDescent="0.25">
      <c r="A225" s="43">
        <f t="shared" si="9"/>
        <v>209</v>
      </c>
      <c r="B225" s="132" t="s">
        <v>296</v>
      </c>
      <c r="C225" s="43">
        <v>2016</v>
      </c>
      <c r="D225" s="17">
        <v>2139312.06</v>
      </c>
      <c r="E225" s="17">
        <f t="shared" si="8"/>
        <v>2139312.06</v>
      </c>
      <c r="F225" s="17"/>
      <c r="G225" s="17"/>
      <c r="H225" s="26">
        <f t="shared" si="1"/>
        <v>2139312.06</v>
      </c>
      <c r="I225" s="17"/>
      <c r="J225" s="1"/>
    </row>
    <row r="226" spans="1:10" x14ac:dyDescent="0.25">
      <c r="A226" s="43">
        <f t="shared" si="9"/>
        <v>210</v>
      </c>
      <c r="B226" s="132" t="s">
        <v>297</v>
      </c>
      <c r="C226" s="43">
        <v>2016</v>
      </c>
      <c r="D226" s="17">
        <v>2172710.35</v>
      </c>
      <c r="E226" s="17">
        <f t="shared" si="8"/>
        <v>2172710.35</v>
      </c>
      <c r="F226" s="17"/>
      <c r="G226" s="17"/>
      <c r="H226" s="26">
        <f t="shared" si="1"/>
        <v>2172710.35</v>
      </c>
      <c r="I226" s="17"/>
      <c r="J226" s="1"/>
    </row>
    <row r="227" spans="1:10" x14ac:dyDescent="0.25">
      <c r="A227" s="43">
        <f t="shared" si="9"/>
        <v>211</v>
      </c>
      <c r="B227" s="132" t="s">
        <v>298</v>
      </c>
      <c r="C227" s="43">
        <v>2016</v>
      </c>
      <c r="D227" s="17">
        <v>2011875.99</v>
      </c>
      <c r="E227" s="17">
        <f t="shared" si="8"/>
        <v>2011875.99</v>
      </c>
      <c r="F227" s="17"/>
      <c r="G227" s="17"/>
      <c r="H227" s="26">
        <f t="shared" si="1"/>
        <v>2011875.99</v>
      </c>
      <c r="I227" s="17"/>
      <c r="J227" s="1"/>
    </row>
    <row r="228" spans="1:10" x14ac:dyDescent="0.25">
      <c r="A228" s="43">
        <f t="shared" si="9"/>
        <v>212</v>
      </c>
      <c r="B228" s="132" t="s">
        <v>299</v>
      </c>
      <c r="C228" s="43">
        <v>2016</v>
      </c>
      <c r="D228" s="17">
        <v>2059877.79</v>
      </c>
      <c r="E228" s="17">
        <f t="shared" si="8"/>
        <v>2059877.79</v>
      </c>
      <c r="F228" s="17"/>
      <c r="G228" s="17"/>
      <c r="H228" s="26">
        <f t="shared" si="1"/>
        <v>2059877.79</v>
      </c>
      <c r="I228" s="17"/>
      <c r="J228" s="1"/>
    </row>
    <row r="229" spans="1:10" x14ac:dyDescent="0.25">
      <c r="A229" s="43">
        <f t="shared" si="9"/>
        <v>213</v>
      </c>
      <c r="B229" s="132" t="s">
        <v>300</v>
      </c>
      <c r="C229" s="43">
        <v>2016</v>
      </c>
      <c r="D229" s="17">
        <v>2080457.59</v>
      </c>
      <c r="E229" s="17">
        <f t="shared" si="8"/>
        <v>2080457.59</v>
      </c>
      <c r="F229" s="17"/>
      <c r="G229" s="17"/>
      <c r="H229" s="26">
        <f t="shared" si="1"/>
        <v>2080457.59</v>
      </c>
      <c r="I229" s="17"/>
      <c r="J229" s="1"/>
    </row>
    <row r="230" spans="1:10" x14ac:dyDescent="0.25">
      <c r="A230" s="43">
        <f t="shared" si="9"/>
        <v>214</v>
      </c>
      <c r="B230" s="132" t="s">
        <v>289</v>
      </c>
      <c r="C230" s="43">
        <v>2016</v>
      </c>
      <c r="D230" s="17">
        <v>2170132.65</v>
      </c>
      <c r="E230" s="17">
        <f t="shared" si="8"/>
        <v>2170132.65</v>
      </c>
      <c r="F230" s="17"/>
      <c r="G230" s="17"/>
      <c r="H230" s="26">
        <f t="shared" si="1"/>
        <v>2170132.65</v>
      </c>
      <c r="I230" s="17"/>
      <c r="J230" s="1"/>
    </row>
    <row r="231" spans="1:10" x14ac:dyDescent="0.25">
      <c r="A231" s="43">
        <f t="shared" si="9"/>
        <v>215</v>
      </c>
      <c r="B231" s="132" t="s">
        <v>290</v>
      </c>
      <c r="C231" s="43">
        <v>2016</v>
      </c>
      <c r="D231" s="17">
        <v>2206183.8200000003</v>
      </c>
      <c r="E231" s="17">
        <f t="shared" si="8"/>
        <v>2206183.8200000003</v>
      </c>
      <c r="F231" s="17"/>
      <c r="G231" s="17"/>
      <c r="H231" s="26">
        <f t="shared" si="1"/>
        <v>2206183.8200000003</v>
      </c>
      <c r="I231" s="17"/>
      <c r="J231" s="1"/>
    </row>
    <row r="232" spans="1:10" x14ac:dyDescent="0.25">
      <c r="A232" s="43">
        <f t="shared" si="9"/>
        <v>216</v>
      </c>
      <c r="B232" s="132" t="s">
        <v>291</v>
      </c>
      <c r="C232" s="43">
        <v>2016</v>
      </c>
      <c r="D232" s="17">
        <v>2165295.1100000003</v>
      </c>
      <c r="E232" s="17">
        <f t="shared" si="8"/>
        <v>2165295.1100000003</v>
      </c>
      <c r="F232" s="17"/>
      <c r="G232" s="17"/>
      <c r="H232" s="26">
        <f t="shared" si="1"/>
        <v>2165295.1100000003</v>
      </c>
      <c r="I232" s="17"/>
      <c r="J232" s="1"/>
    </row>
    <row r="233" spans="1:10" x14ac:dyDescent="0.25">
      <c r="A233" s="43">
        <f t="shared" si="9"/>
        <v>217</v>
      </c>
      <c r="B233" s="132" t="s">
        <v>292</v>
      </c>
      <c r="C233" s="43">
        <v>2016</v>
      </c>
      <c r="D233" s="17">
        <v>2170097.16</v>
      </c>
      <c r="E233" s="17">
        <f t="shared" si="8"/>
        <v>2170097.16</v>
      </c>
      <c r="F233" s="17"/>
      <c r="G233" s="17"/>
      <c r="H233" s="26">
        <f t="shared" si="1"/>
        <v>2170097.16</v>
      </c>
      <c r="I233" s="17"/>
      <c r="J233" s="1"/>
    </row>
    <row r="234" spans="1:10" x14ac:dyDescent="0.25">
      <c r="A234" s="43">
        <f t="shared" si="9"/>
        <v>218</v>
      </c>
      <c r="B234" s="132" t="s">
        <v>293</v>
      </c>
      <c r="C234" s="43">
        <v>2016</v>
      </c>
      <c r="D234" s="17">
        <v>2148512.3600000003</v>
      </c>
      <c r="E234" s="17">
        <f t="shared" si="8"/>
        <v>2148512.3600000003</v>
      </c>
      <c r="F234" s="17"/>
      <c r="G234" s="17"/>
      <c r="H234" s="26">
        <f t="shared" si="1"/>
        <v>2148512.3600000003</v>
      </c>
      <c r="I234" s="17"/>
      <c r="J234" s="1"/>
    </row>
    <row r="235" spans="1:10" x14ac:dyDescent="0.25">
      <c r="A235" s="43">
        <f t="shared" si="9"/>
        <v>219</v>
      </c>
      <c r="B235" s="132" t="s">
        <v>294</v>
      </c>
      <c r="C235" s="43">
        <v>2016</v>
      </c>
      <c r="D235" s="17">
        <v>2208228.85</v>
      </c>
      <c r="E235" s="17">
        <f t="shared" si="8"/>
        <v>2208228.85</v>
      </c>
      <c r="F235" s="17"/>
      <c r="G235" s="17"/>
      <c r="H235" s="26">
        <f t="shared" si="1"/>
        <v>2208228.85</v>
      </c>
      <c r="I235" s="17"/>
      <c r="J235" s="1"/>
    </row>
    <row r="236" spans="1:10" x14ac:dyDescent="0.25">
      <c r="A236" s="43">
        <f t="shared" si="9"/>
        <v>220</v>
      </c>
      <c r="B236" s="132" t="s">
        <v>295</v>
      </c>
      <c r="C236" s="43">
        <v>2017</v>
      </c>
      <c r="D236" s="17">
        <v>2152331.81</v>
      </c>
      <c r="E236" s="17">
        <f t="shared" si="8"/>
        <v>2152331.81</v>
      </c>
      <c r="F236" s="17"/>
      <c r="G236" s="17"/>
      <c r="H236" s="26">
        <f t="shared" si="1"/>
        <v>2152331.81</v>
      </c>
      <c r="I236" s="17"/>
      <c r="J236" s="1"/>
    </row>
    <row r="237" spans="1:10" x14ac:dyDescent="0.25">
      <c r="A237" s="43">
        <f t="shared" si="9"/>
        <v>221</v>
      </c>
      <c r="B237" s="132" t="s">
        <v>296</v>
      </c>
      <c r="C237" s="43">
        <v>2017</v>
      </c>
      <c r="D237" s="17">
        <v>2148831.0100000002</v>
      </c>
      <c r="E237" s="17">
        <f t="shared" si="8"/>
        <v>2148831.0100000002</v>
      </c>
      <c r="F237" s="17"/>
      <c r="G237" s="17"/>
      <c r="H237" s="26">
        <f t="shared" si="1"/>
        <v>2148831.0100000002</v>
      </c>
      <c r="I237" s="17"/>
      <c r="J237" s="1"/>
    </row>
    <row r="238" spans="1:10" x14ac:dyDescent="0.25">
      <c r="A238" s="43">
        <f t="shared" si="9"/>
        <v>222</v>
      </c>
      <c r="B238" s="132" t="s">
        <v>297</v>
      </c>
      <c r="C238" s="43">
        <v>2017</v>
      </c>
      <c r="D238" s="17">
        <v>1825510.23</v>
      </c>
      <c r="E238" s="17">
        <f t="shared" si="8"/>
        <v>1825510.23</v>
      </c>
      <c r="F238" s="17"/>
      <c r="G238" s="17"/>
      <c r="H238" s="26">
        <f t="shared" si="1"/>
        <v>1825510.23</v>
      </c>
      <c r="I238" s="17"/>
      <c r="J238" s="1"/>
    </row>
    <row r="239" spans="1:10" x14ac:dyDescent="0.25">
      <c r="A239" s="43">
        <f t="shared" si="9"/>
        <v>223</v>
      </c>
      <c r="B239" s="132" t="s">
        <v>298</v>
      </c>
      <c r="C239" s="43">
        <v>2017</v>
      </c>
      <c r="D239" s="17">
        <v>2212955.75</v>
      </c>
      <c r="E239" s="17">
        <f t="shared" si="8"/>
        <v>2212955.75</v>
      </c>
      <c r="F239" s="17"/>
      <c r="G239" s="17"/>
      <c r="H239" s="26">
        <f t="shared" si="1"/>
        <v>2212955.75</v>
      </c>
      <c r="I239" s="17"/>
      <c r="J239" s="1"/>
    </row>
    <row r="240" spans="1:10" x14ac:dyDescent="0.25">
      <c r="A240" s="43">
        <f t="shared" si="9"/>
        <v>224</v>
      </c>
      <c r="B240" s="132" t="s">
        <v>299</v>
      </c>
      <c r="C240" s="43">
        <v>2017</v>
      </c>
      <c r="D240" s="17">
        <v>2199474.33</v>
      </c>
      <c r="E240" s="17">
        <f t="shared" si="8"/>
        <v>2199474.33</v>
      </c>
      <c r="F240" s="17"/>
      <c r="G240" s="17"/>
      <c r="H240" s="26">
        <f t="shared" si="1"/>
        <v>2199474.33</v>
      </c>
      <c r="I240" s="17"/>
      <c r="J240" s="1"/>
    </row>
    <row r="241" spans="1:10" x14ac:dyDescent="0.25">
      <c r="A241" s="43">
        <f t="shared" si="9"/>
        <v>225</v>
      </c>
      <c r="B241" s="132" t="s">
        <v>300</v>
      </c>
      <c r="C241" s="43">
        <v>2017</v>
      </c>
      <c r="D241" s="17">
        <v>2160826.25</v>
      </c>
      <c r="E241" s="17">
        <f t="shared" si="8"/>
        <v>2160826.25</v>
      </c>
      <c r="F241" s="17"/>
      <c r="G241" s="17"/>
      <c r="H241" s="26">
        <f t="shared" si="1"/>
        <v>2160826.25</v>
      </c>
      <c r="I241" s="17"/>
      <c r="J241" s="1"/>
    </row>
    <row r="242" spans="1:10" x14ac:dyDescent="0.25">
      <c r="A242" s="43">
        <f t="shared" si="9"/>
        <v>226</v>
      </c>
      <c r="B242" s="132" t="s">
        <v>289</v>
      </c>
      <c r="C242" s="43">
        <v>2017</v>
      </c>
      <c r="D242" s="17">
        <v>2353325.6100000003</v>
      </c>
      <c r="E242" s="17">
        <f t="shared" si="8"/>
        <v>2353325.6100000003</v>
      </c>
      <c r="F242" s="17"/>
      <c r="G242" s="17"/>
      <c r="H242" s="26">
        <f t="shared" si="1"/>
        <v>2353325.6100000003</v>
      </c>
      <c r="I242" s="17"/>
      <c r="J242" s="1"/>
    </row>
    <row r="243" spans="1:10" x14ac:dyDescent="0.25">
      <c r="A243" s="43">
        <f t="shared" si="9"/>
        <v>227</v>
      </c>
      <c r="B243" s="132" t="s">
        <v>290</v>
      </c>
      <c r="C243" s="43">
        <v>2017</v>
      </c>
      <c r="D243" s="17">
        <v>2427598.12</v>
      </c>
      <c r="E243" s="17">
        <f t="shared" si="8"/>
        <v>2427598.12</v>
      </c>
      <c r="F243" s="17"/>
      <c r="G243" s="17"/>
      <c r="H243" s="26">
        <f t="shared" si="1"/>
        <v>2427598.12</v>
      </c>
      <c r="I243" s="17"/>
      <c r="J243" s="1"/>
    </row>
    <row r="244" spans="1:10" x14ac:dyDescent="0.25">
      <c r="A244" s="43">
        <f t="shared" si="9"/>
        <v>228</v>
      </c>
      <c r="B244" s="132" t="s">
        <v>291</v>
      </c>
      <c r="C244" s="43">
        <v>2017</v>
      </c>
      <c r="D244" s="17">
        <v>2522396.66</v>
      </c>
      <c r="E244" s="17">
        <f t="shared" si="8"/>
        <v>2522396.66</v>
      </c>
      <c r="F244" s="17"/>
      <c r="G244" s="17"/>
      <c r="H244" s="26">
        <f t="shared" si="1"/>
        <v>2522396.66</v>
      </c>
      <c r="I244" s="17"/>
      <c r="J244" s="1"/>
    </row>
    <row r="245" spans="1:10" x14ac:dyDescent="0.25">
      <c r="A245" s="43">
        <f t="shared" si="9"/>
        <v>229</v>
      </c>
      <c r="B245" s="132" t="s">
        <v>292</v>
      </c>
      <c r="C245" s="43">
        <v>2017</v>
      </c>
      <c r="D245" s="17">
        <v>2520244.0300000003</v>
      </c>
      <c r="E245" s="17">
        <f t="shared" si="8"/>
        <v>2520244.0300000003</v>
      </c>
      <c r="F245" s="17"/>
      <c r="G245" s="17"/>
      <c r="H245" s="26">
        <f t="shared" si="1"/>
        <v>2520244.0300000003</v>
      </c>
      <c r="I245" s="17"/>
      <c r="J245" s="1"/>
    </row>
    <row r="246" spans="1:10" x14ac:dyDescent="0.25">
      <c r="A246" s="43">
        <f t="shared" si="9"/>
        <v>230</v>
      </c>
      <c r="B246" s="132" t="s">
        <v>293</v>
      </c>
      <c r="C246" s="43">
        <v>2017</v>
      </c>
      <c r="D246" s="17">
        <v>2508599.15</v>
      </c>
      <c r="E246" s="17">
        <f t="shared" si="8"/>
        <v>2508599.15</v>
      </c>
      <c r="F246" s="17"/>
      <c r="G246" s="17"/>
      <c r="H246" s="26">
        <f t="shared" si="1"/>
        <v>2508599.15</v>
      </c>
      <c r="I246" s="17"/>
      <c r="J246" s="1"/>
    </row>
    <row r="247" spans="1:10" x14ac:dyDescent="0.25">
      <c r="A247" s="43">
        <f t="shared" si="9"/>
        <v>231</v>
      </c>
      <c r="B247" s="132" t="s">
        <v>294</v>
      </c>
      <c r="C247" s="43">
        <v>2017</v>
      </c>
      <c r="D247" s="17">
        <v>2469483.16</v>
      </c>
      <c r="E247" s="17">
        <f t="shared" si="8"/>
        <v>2469483.16</v>
      </c>
      <c r="F247" s="17"/>
      <c r="G247" s="17"/>
      <c r="H247" s="26">
        <f t="shared" si="1"/>
        <v>2469483.16</v>
      </c>
      <c r="I247" s="17"/>
      <c r="J247" s="1"/>
    </row>
    <row r="248" spans="1:10" x14ac:dyDescent="0.25">
      <c r="A248" s="43">
        <f t="shared" si="9"/>
        <v>232</v>
      </c>
      <c r="B248" s="132" t="s">
        <v>295</v>
      </c>
      <c r="C248" s="43">
        <v>2018</v>
      </c>
      <c r="D248" s="17">
        <v>2621925.58</v>
      </c>
      <c r="E248" s="17">
        <f t="shared" si="8"/>
        <v>2621925.58</v>
      </c>
      <c r="F248" s="17"/>
      <c r="G248" s="17"/>
      <c r="H248" s="26">
        <f t="shared" si="1"/>
        <v>2621925.58</v>
      </c>
      <c r="I248" s="17"/>
      <c r="J248" s="1"/>
    </row>
    <row r="249" spans="1:10" x14ac:dyDescent="0.25">
      <c r="A249" s="43">
        <f t="shared" si="9"/>
        <v>233</v>
      </c>
      <c r="B249" s="132" t="s">
        <v>296</v>
      </c>
      <c r="C249" s="43">
        <v>2018</v>
      </c>
      <c r="D249" s="17">
        <v>2267169.9500000002</v>
      </c>
      <c r="E249" s="17">
        <f t="shared" si="8"/>
        <v>2267169.9500000002</v>
      </c>
      <c r="F249" s="17"/>
      <c r="G249" s="17"/>
      <c r="H249" s="26">
        <f t="shared" si="1"/>
        <v>2267169.9500000002</v>
      </c>
      <c r="I249" s="17"/>
      <c r="J249" s="1"/>
    </row>
    <row r="250" spans="1:10" x14ac:dyDescent="0.25">
      <c r="A250" s="43">
        <f t="shared" si="9"/>
        <v>234</v>
      </c>
      <c r="B250" s="132" t="s">
        <v>297</v>
      </c>
      <c r="C250" s="43">
        <v>2018</v>
      </c>
      <c r="D250" s="17">
        <v>2352549.35</v>
      </c>
      <c r="E250" s="17">
        <f t="shared" si="8"/>
        <v>2352549.35</v>
      </c>
      <c r="F250" s="17"/>
      <c r="G250" s="17"/>
      <c r="H250" s="26">
        <f t="shared" si="1"/>
        <v>2352549.35</v>
      </c>
      <c r="I250" s="17"/>
      <c r="J250" s="1"/>
    </row>
    <row r="251" spans="1:10" x14ac:dyDescent="0.25">
      <c r="A251" s="43">
        <f t="shared" si="9"/>
        <v>235</v>
      </c>
      <c r="B251" s="132" t="s">
        <v>298</v>
      </c>
      <c r="C251" s="43">
        <v>2018</v>
      </c>
      <c r="D251" s="17">
        <v>2405890.9</v>
      </c>
      <c r="E251" s="17">
        <f t="shared" si="8"/>
        <v>2405890.9</v>
      </c>
      <c r="F251" s="17"/>
      <c r="G251" s="17"/>
      <c r="H251" s="26">
        <f t="shared" si="1"/>
        <v>2405890.9</v>
      </c>
      <c r="I251" s="17"/>
      <c r="J251" s="1"/>
    </row>
    <row r="252" spans="1:10" x14ac:dyDescent="0.25">
      <c r="A252" s="43">
        <f t="shared" si="9"/>
        <v>236</v>
      </c>
      <c r="B252" s="132" t="s">
        <v>299</v>
      </c>
      <c r="C252" s="43">
        <v>2018</v>
      </c>
      <c r="D252" s="17">
        <v>2584846.02</v>
      </c>
      <c r="E252" s="17">
        <f t="shared" si="8"/>
        <v>2584846.02</v>
      </c>
      <c r="F252" s="17"/>
      <c r="G252" s="17"/>
      <c r="H252" s="26">
        <f t="shared" si="1"/>
        <v>2584846.02</v>
      </c>
      <c r="I252" s="17"/>
      <c r="J252" s="1"/>
    </row>
    <row r="253" spans="1:10" x14ac:dyDescent="0.25">
      <c r="A253" s="43">
        <f t="shared" si="9"/>
        <v>237</v>
      </c>
      <c r="B253" s="132" t="s">
        <v>300</v>
      </c>
      <c r="C253" s="43">
        <v>2018</v>
      </c>
      <c r="D253" s="17">
        <v>2552916.33</v>
      </c>
      <c r="E253" s="17">
        <f t="shared" si="8"/>
        <v>2552916.33</v>
      </c>
      <c r="F253" s="17"/>
      <c r="G253" s="17"/>
      <c r="H253" s="26">
        <f t="shared" si="1"/>
        <v>2552916.33</v>
      </c>
      <c r="I253" s="17"/>
      <c r="J253" s="1"/>
    </row>
    <row r="254" spans="1:10" x14ac:dyDescent="0.25">
      <c r="A254" s="43">
        <f t="shared" si="9"/>
        <v>238</v>
      </c>
      <c r="B254" s="132" t="s">
        <v>289</v>
      </c>
      <c r="C254" s="43">
        <v>2018</v>
      </c>
      <c r="D254" s="17">
        <v>2782463.75</v>
      </c>
      <c r="E254" s="17">
        <f t="shared" si="8"/>
        <v>2782463.75</v>
      </c>
      <c r="F254" s="17"/>
      <c r="G254" s="17"/>
      <c r="H254" s="26">
        <f t="shared" si="1"/>
        <v>2782463.75</v>
      </c>
      <c r="I254" s="17"/>
      <c r="J254" s="1"/>
    </row>
    <row r="255" spans="1:10" x14ac:dyDescent="0.25">
      <c r="A255" s="43">
        <f t="shared" si="9"/>
        <v>239</v>
      </c>
      <c r="B255" s="132" t="s">
        <v>290</v>
      </c>
      <c r="C255" s="43">
        <v>2018</v>
      </c>
      <c r="D255" s="17">
        <v>2740680.62</v>
      </c>
      <c r="E255" s="17">
        <f t="shared" si="8"/>
        <v>2740680.62</v>
      </c>
      <c r="F255" s="17"/>
      <c r="G255" s="17"/>
      <c r="H255" s="26">
        <f t="shared" si="1"/>
        <v>2740680.62</v>
      </c>
      <c r="I255" s="17"/>
      <c r="J255" s="1"/>
    </row>
    <row r="256" spans="1:10" x14ac:dyDescent="0.25">
      <c r="A256" s="43">
        <f t="shared" si="9"/>
        <v>240</v>
      </c>
      <c r="B256" s="132" t="s">
        <v>291</v>
      </c>
      <c r="C256" s="43">
        <v>2018</v>
      </c>
      <c r="D256" s="17">
        <v>2712031.3000000003</v>
      </c>
      <c r="E256" s="17">
        <f t="shared" si="8"/>
        <v>2712031.3000000003</v>
      </c>
      <c r="F256" s="17"/>
      <c r="G256" s="17"/>
      <c r="H256" s="26">
        <f t="shared" si="1"/>
        <v>2712031.3000000003</v>
      </c>
      <c r="I256" s="17"/>
      <c r="J256" s="1"/>
    </row>
    <row r="257" spans="1:22" ht="13" x14ac:dyDescent="0.3">
      <c r="A257" s="43">
        <f t="shared" si="9"/>
        <v>241</v>
      </c>
      <c r="B257" s="132" t="s">
        <v>292</v>
      </c>
      <c r="C257" s="43">
        <v>2018</v>
      </c>
      <c r="D257" s="17">
        <v>2554974.1800000002</v>
      </c>
      <c r="E257" s="17">
        <f t="shared" si="8"/>
        <v>2554974.1800000002</v>
      </c>
      <c r="F257" s="17"/>
      <c r="G257" s="17"/>
      <c r="H257" s="26">
        <f t="shared" si="1"/>
        <v>2554974.1800000002</v>
      </c>
      <c r="I257" s="17"/>
      <c r="J257" s="52" t="s">
        <v>420</v>
      </c>
      <c r="K257" s="52"/>
      <c r="L257" s="52"/>
    </row>
    <row r="258" spans="1:22" x14ac:dyDescent="0.25">
      <c r="A258" s="43">
        <f t="shared" si="9"/>
        <v>242</v>
      </c>
      <c r="B258" s="132" t="s">
        <v>293</v>
      </c>
      <c r="C258" s="43">
        <v>2018</v>
      </c>
      <c r="D258" s="17">
        <v>2856222.29</v>
      </c>
      <c r="E258" s="17">
        <f t="shared" si="8"/>
        <v>2856222.29</v>
      </c>
      <c r="F258" s="17"/>
      <c r="G258" s="17"/>
      <c r="H258" s="26">
        <f t="shared" si="1"/>
        <v>2856222.29</v>
      </c>
      <c r="I258" s="17"/>
    </row>
    <row r="259" spans="1:22" x14ac:dyDescent="0.25">
      <c r="A259" s="43">
        <f t="shared" si="9"/>
        <v>243</v>
      </c>
      <c r="B259" s="132" t="s">
        <v>294</v>
      </c>
      <c r="C259" s="43">
        <v>2018</v>
      </c>
      <c r="D259" s="17">
        <v>2797098.25</v>
      </c>
      <c r="E259" s="17">
        <f t="shared" si="8"/>
        <v>2797098.25</v>
      </c>
      <c r="F259" s="17"/>
      <c r="G259" s="17"/>
      <c r="H259" s="26">
        <f t="shared" si="1"/>
        <v>2797098.25</v>
      </c>
      <c r="I259" s="17"/>
      <c r="J259" s="820">
        <v>45089</v>
      </c>
      <c r="K259" s="821">
        <v>5</v>
      </c>
      <c r="L259" s="821">
        <v>15</v>
      </c>
      <c r="M259" s="821">
        <v>1100</v>
      </c>
      <c r="N259" s="824">
        <v>0.45833333333333331</v>
      </c>
      <c r="O259" s="823" t="s">
        <v>356</v>
      </c>
      <c r="P259" s="823" t="s">
        <v>356</v>
      </c>
      <c r="Q259" s="823" t="s">
        <v>372</v>
      </c>
      <c r="R259" s="821">
        <v>4</v>
      </c>
      <c r="S259" s="822">
        <v>117</v>
      </c>
      <c r="T259" s="825">
        <v>8.2100000000000009</v>
      </c>
      <c r="U259" s="821">
        <v>0.4</v>
      </c>
      <c r="V259" s="573">
        <f t="shared" ref="V259:V295" si="10">ROUND(S259*T259*U259,2)</f>
        <v>384.23</v>
      </c>
    </row>
    <row r="260" spans="1:22" x14ac:dyDescent="0.25">
      <c r="A260" s="43">
        <f t="shared" si="9"/>
        <v>244</v>
      </c>
      <c r="B260" s="132" t="s">
        <v>295</v>
      </c>
      <c r="C260" s="43">
        <v>2019</v>
      </c>
      <c r="D260" s="17">
        <v>2609454.27</v>
      </c>
      <c r="E260" s="17">
        <f t="shared" si="8"/>
        <v>2609454.27</v>
      </c>
      <c r="F260" s="17"/>
      <c r="G260" s="17"/>
      <c r="H260" s="26">
        <f t="shared" si="1"/>
        <v>2609454.27</v>
      </c>
      <c r="I260" s="17"/>
      <c r="J260" s="820">
        <v>45089</v>
      </c>
      <c r="K260" s="821" t="s">
        <v>360</v>
      </c>
      <c r="L260" s="821">
        <v>1</v>
      </c>
      <c r="M260" s="821">
        <v>1100</v>
      </c>
      <c r="N260" s="824">
        <v>0.45833333333333331</v>
      </c>
      <c r="O260" s="823" t="s">
        <v>356</v>
      </c>
      <c r="P260" s="823" t="s">
        <v>356</v>
      </c>
      <c r="Q260" s="823" t="s">
        <v>416</v>
      </c>
      <c r="R260" s="821">
        <v>4</v>
      </c>
      <c r="S260" s="822">
        <v>90</v>
      </c>
      <c r="T260" s="825">
        <v>8.2100000000000009</v>
      </c>
      <c r="U260" s="821">
        <v>0.4</v>
      </c>
      <c r="V260" s="573">
        <f t="shared" si="10"/>
        <v>295.56</v>
      </c>
    </row>
    <row r="261" spans="1:22" x14ac:dyDescent="0.25">
      <c r="A261" s="43">
        <f t="shared" si="9"/>
        <v>245</v>
      </c>
      <c r="B261" s="132" t="s">
        <v>296</v>
      </c>
      <c r="C261" s="43">
        <v>2019</v>
      </c>
      <c r="D261" s="17">
        <v>2417774.91</v>
      </c>
      <c r="E261" s="17">
        <f t="shared" si="8"/>
        <v>2417774.91</v>
      </c>
      <c r="F261" s="17"/>
      <c r="G261" s="17"/>
      <c r="H261" s="26">
        <f t="shared" si="1"/>
        <v>2417774.91</v>
      </c>
      <c r="I261" s="17"/>
      <c r="J261" s="820">
        <v>45089</v>
      </c>
      <c r="K261" s="821" t="s">
        <v>378</v>
      </c>
      <c r="L261" s="821">
        <v>21</v>
      </c>
      <c r="M261" s="821">
        <v>1100</v>
      </c>
      <c r="N261" s="824">
        <v>0.45833333333333331</v>
      </c>
      <c r="O261" s="823" t="s">
        <v>356</v>
      </c>
      <c r="P261" s="823" t="s">
        <v>356</v>
      </c>
      <c r="Q261" s="823" t="s">
        <v>374</v>
      </c>
      <c r="R261" s="821">
        <v>4</v>
      </c>
      <c r="S261" s="822">
        <v>136.5</v>
      </c>
      <c r="T261" s="825">
        <v>8.2100000000000009</v>
      </c>
      <c r="U261" s="821">
        <v>0.4</v>
      </c>
      <c r="V261" s="573">
        <f t="shared" si="10"/>
        <v>448.27</v>
      </c>
    </row>
    <row r="262" spans="1:22" x14ac:dyDescent="0.25">
      <c r="A262" s="43">
        <f t="shared" si="9"/>
        <v>246</v>
      </c>
      <c r="B262" s="132" t="s">
        <v>297</v>
      </c>
      <c r="C262" s="43">
        <v>2019</v>
      </c>
      <c r="D262" s="17">
        <v>2566595.15</v>
      </c>
      <c r="E262" s="17">
        <f t="shared" si="8"/>
        <v>2566595.15</v>
      </c>
      <c r="F262" s="17"/>
      <c r="G262" s="17"/>
      <c r="H262" s="26">
        <f t="shared" si="1"/>
        <v>2566595.15</v>
      </c>
      <c r="I262" s="17"/>
      <c r="J262" s="820">
        <v>45089</v>
      </c>
      <c r="K262" s="821" t="s">
        <v>373</v>
      </c>
      <c r="L262" s="821">
        <v>17</v>
      </c>
      <c r="M262" s="821">
        <v>1200</v>
      </c>
      <c r="N262" s="824">
        <v>0.5</v>
      </c>
      <c r="O262" s="823" t="s">
        <v>356</v>
      </c>
      <c r="P262" s="823" t="s">
        <v>356</v>
      </c>
      <c r="Q262" s="823" t="s">
        <v>374</v>
      </c>
      <c r="R262" s="821">
        <v>4</v>
      </c>
      <c r="S262" s="822">
        <v>149.9</v>
      </c>
      <c r="T262" s="825">
        <v>8.2100000000000009</v>
      </c>
      <c r="U262" s="821">
        <v>0.4</v>
      </c>
      <c r="V262" s="573">
        <f t="shared" si="10"/>
        <v>492.27</v>
      </c>
    </row>
    <row r="263" spans="1:22" x14ac:dyDescent="0.25">
      <c r="A263" s="43">
        <f t="shared" si="9"/>
        <v>247</v>
      </c>
      <c r="B263" s="132" t="s">
        <v>298</v>
      </c>
      <c r="C263" s="43">
        <v>2019</v>
      </c>
      <c r="D263" s="17">
        <v>2638118.5</v>
      </c>
      <c r="E263" s="17">
        <f t="shared" si="8"/>
        <v>2638118.5</v>
      </c>
      <c r="F263" s="17"/>
      <c r="G263" s="17"/>
      <c r="H263" s="26">
        <f t="shared" si="1"/>
        <v>2638118.5</v>
      </c>
      <c r="I263" s="17"/>
      <c r="J263" s="820">
        <v>45089</v>
      </c>
      <c r="K263" s="821" t="s">
        <v>383</v>
      </c>
      <c r="L263" s="821">
        <v>25</v>
      </c>
      <c r="M263" s="821">
        <v>1200</v>
      </c>
      <c r="N263" s="824">
        <v>0.5</v>
      </c>
      <c r="O263" s="823" t="s">
        <v>356</v>
      </c>
      <c r="P263" s="823" t="s">
        <v>356</v>
      </c>
      <c r="Q263" s="823" t="s">
        <v>417</v>
      </c>
      <c r="R263" s="821">
        <v>4</v>
      </c>
      <c r="S263" s="822">
        <v>70.3</v>
      </c>
      <c r="T263" s="825">
        <v>8.2100000000000009</v>
      </c>
      <c r="U263" s="821">
        <v>0.4</v>
      </c>
      <c r="V263" s="573">
        <f t="shared" si="10"/>
        <v>230.87</v>
      </c>
    </row>
    <row r="264" spans="1:22" x14ac:dyDescent="0.25">
      <c r="A264" s="43">
        <f t="shared" si="9"/>
        <v>248</v>
      </c>
      <c r="B264" s="132" t="s">
        <v>299</v>
      </c>
      <c r="C264" s="43">
        <v>2019</v>
      </c>
      <c r="D264" s="17">
        <v>2768870.1300000008</v>
      </c>
      <c r="E264" s="17">
        <f t="shared" si="8"/>
        <v>2768870.1300000008</v>
      </c>
      <c r="F264" s="17"/>
      <c r="G264" s="17"/>
      <c r="H264" s="26">
        <f t="shared" si="1"/>
        <v>2768870.1300000008</v>
      </c>
      <c r="I264" s="17"/>
      <c r="J264" s="820">
        <v>45089</v>
      </c>
      <c r="K264" s="821">
        <v>8</v>
      </c>
      <c r="L264" s="821" t="s">
        <v>418</v>
      </c>
      <c r="M264" s="821">
        <v>1230</v>
      </c>
      <c r="N264" s="824">
        <v>0.52083333333333337</v>
      </c>
      <c r="O264" s="823" t="s">
        <v>356</v>
      </c>
      <c r="P264" s="823" t="s">
        <v>356</v>
      </c>
      <c r="Q264" s="823" t="s">
        <v>382</v>
      </c>
      <c r="R264" s="821">
        <v>4</v>
      </c>
      <c r="S264" s="822">
        <v>78.8</v>
      </c>
      <c r="T264" s="825">
        <v>8.2100000000000009</v>
      </c>
      <c r="U264" s="821">
        <v>0.4</v>
      </c>
      <c r="V264" s="573">
        <f t="shared" si="10"/>
        <v>258.77999999999997</v>
      </c>
    </row>
    <row r="265" spans="1:22" x14ac:dyDescent="0.25">
      <c r="A265" s="43">
        <f t="shared" si="9"/>
        <v>249</v>
      </c>
      <c r="B265" s="132" t="s">
        <v>300</v>
      </c>
      <c r="C265" s="43">
        <v>2019</v>
      </c>
      <c r="D265" s="17">
        <v>2751264.07</v>
      </c>
      <c r="E265" s="17">
        <f t="shared" si="8"/>
        <v>2751264.07</v>
      </c>
      <c r="F265" s="17"/>
      <c r="G265" s="17"/>
      <c r="H265" s="26">
        <f t="shared" ref="H265:H334" si="11">D265</f>
        <v>2751264.07</v>
      </c>
      <c r="I265" s="17"/>
      <c r="J265" s="820">
        <v>45089</v>
      </c>
      <c r="K265" s="821" t="s">
        <v>358</v>
      </c>
      <c r="L265" s="821">
        <v>19</v>
      </c>
      <c r="M265" s="821">
        <v>1300</v>
      </c>
      <c r="N265" s="824">
        <v>0.54166666666666663</v>
      </c>
      <c r="O265" s="823" t="s">
        <v>356</v>
      </c>
      <c r="P265" s="823" t="s">
        <v>356</v>
      </c>
      <c r="Q265" s="823" t="s">
        <v>359</v>
      </c>
      <c r="R265" s="821">
        <v>4</v>
      </c>
      <c r="S265" s="822">
        <v>35.799999999999997</v>
      </c>
      <c r="T265" s="825">
        <v>8.2100000000000009</v>
      </c>
      <c r="U265" s="821">
        <v>0.4</v>
      </c>
      <c r="V265" s="573">
        <f t="shared" si="10"/>
        <v>117.57</v>
      </c>
    </row>
    <row r="266" spans="1:22" x14ac:dyDescent="0.25">
      <c r="A266" s="43">
        <f t="shared" si="9"/>
        <v>250</v>
      </c>
      <c r="B266" s="132" t="s">
        <v>289</v>
      </c>
      <c r="C266" s="43">
        <v>2019</v>
      </c>
      <c r="D266" s="17">
        <v>2729541.7800000003</v>
      </c>
      <c r="E266" s="17">
        <f t="shared" si="8"/>
        <v>2729541.7800000003</v>
      </c>
      <c r="F266" s="17"/>
      <c r="G266" s="17"/>
      <c r="H266" s="26">
        <f t="shared" si="11"/>
        <v>2729541.7800000003</v>
      </c>
      <c r="I266" s="17"/>
      <c r="J266" s="820">
        <v>45089</v>
      </c>
      <c r="K266" s="821" t="s">
        <v>379</v>
      </c>
      <c r="L266" s="821">
        <v>22</v>
      </c>
      <c r="M266" s="821">
        <v>1300</v>
      </c>
      <c r="N266" s="824">
        <v>0.54166666666666663</v>
      </c>
      <c r="O266" s="823" t="s">
        <v>356</v>
      </c>
      <c r="P266" s="823" t="s">
        <v>356</v>
      </c>
      <c r="Q266" s="823" t="s">
        <v>380</v>
      </c>
      <c r="R266" s="821">
        <v>4</v>
      </c>
      <c r="S266" s="822">
        <v>117.5</v>
      </c>
      <c r="T266" s="825">
        <v>8.2100000000000009</v>
      </c>
      <c r="U266" s="821">
        <v>0.4</v>
      </c>
      <c r="V266" s="573">
        <f t="shared" si="10"/>
        <v>385.87</v>
      </c>
    </row>
    <row r="267" spans="1:22" x14ac:dyDescent="0.25">
      <c r="A267" s="43">
        <f t="shared" si="9"/>
        <v>251</v>
      </c>
      <c r="B267" s="132" t="s">
        <v>290</v>
      </c>
      <c r="C267" s="43">
        <v>2019</v>
      </c>
      <c r="D267" s="17">
        <v>2738515.56</v>
      </c>
      <c r="E267" s="17">
        <f t="shared" si="8"/>
        <v>2738515.56</v>
      </c>
      <c r="F267" s="17"/>
      <c r="G267" s="17"/>
      <c r="H267" s="26">
        <f t="shared" si="11"/>
        <v>2738515.56</v>
      </c>
      <c r="I267" s="17"/>
      <c r="J267" s="820">
        <v>45089</v>
      </c>
      <c r="K267" s="821" t="s">
        <v>357</v>
      </c>
      <c r="L267" s="821">
        <v>2</v>
      </c>
      <c r="M267" s="821">
        <v>1400</v>
      </c>
      <c r="N267" s="824">
        <v>0.58333333333333337</v>
      </c>
      <c r="O267" s="823" t="s">
        <v>356</v>
      </c>
      <c r="P267" s="823" t="s">
        <v>356</v>
      </c>
      <c r="Q267" s="823" t="s">
        <v>416</v>
      </c>
      <c r="R267" s="821">
        <v>4</v>
      </c>
      <c r="S267" s="822">
        <v>90</v>
      </c>
      <c r="T267" s="825">
        <v>8.2100000000000009</v>
      </c>
      <c r="U267" s="821">
        <v>0.4</v>
      </c>
      <c r="V267" s="573">
        <f t="shared" si="10"/>
        <v>295.56</v>
      </c>
    </row>
    <row r="268" spans="1:22" x14ac:dyDescent="0.25">
      <c r="A268" s="43">
        <f t="shared" si="9"/>
        <v>252</v>
      </c>
      <c r="B268" s="132" t="s">
        <v>291</v>
      </c>
      <c r="C268" s="43">
        <v>2019</v>
      </c>
      <c r="D268" s="17">
        <v>2780375.0900000008</v>
      </c>
      <c r="E268" s="17">
        <f t="shared" si="8"/>
        <v>2780375.0900000008</v>
      </c>
      <c r="F268" s="17"/>
      <c r="G268" s="17"/>
      <c r="H268" s="26">
        <f t="shared" si="11"/>
        <v>2780375.0900000008</v>
      </c>
      <c r="I268" s="17"/>
      <c r="J268" s="820">
        <v>45089</v>
      </c>
      <c r="K268" s="821" t="s">
        <v>386</v>
      </c>
      <c r="L268" s="821">
        <v>26</v>
      </c>
      <c r="M268" s="821">
        <v>1400</v>
      </c>
      <c r="N268" s="824">
        <v>0.58333333333333337</v>
      </c>
      <c r="O268" s="823" t="s">
        <v>356</v>
      </c>
      <c r="P268" s="823" t="s">
        <v>356</v>
      </c>
      <c r="Q268" s="823" t="s">
        <v>419</v>
      </c>
      <c r="R268" s="821">
        <v>4</v>
      </c>
      <c r="S268" s="822">
        <v>78</v>
      </c>
      <c r="T268" s="825">
        <v>8.2100000000000009</v>
      </c>
      <c r="U268" s="821">
        <v>0.4</v>
      </c>
      <c r="V268" s="573">
        <f t="shared" si="10"/>
        <v>256.14999999999998</v>
      </c>
    </row>
    <row r="269" spans="1:22" x14ac:dyDescent="0.25">
      <c r="A269" s="43">
        <f t="shared" si="9"/>
        <v>253</v>
      </c>
      <c r="B269" s="132" t="s">
        <v>292</v>
      </c>
      <c r="C269" s="43">
        <v>2019</v>
      </c>
      <c r="D269" s="17">
        <v>2634787.7800000003</v>
      </c>
      <c r="E269" s="17">
        <f t="shared" si="8"/>
        <v>2634787.7800000003</v>
      </c>
      <c r="F269" s="17"/>
      <c r="G269" s="17"/>
      <c r="H269" s="26">
        <f t="shared" si="11"/>
        <v>2634787.7800000003</v>
      </c>
      <c r="I269" s="17"/>
      <c r="J269" s="820">
        <v>45089</v>
      </c>
      <c r="K269" s="821" t="s">
        <v>375</v>
      </c>
      <c r="L269" s="821">
        <v>18</v>
      </c>
      <c r="M269" s="821">
        <v>1640</v>
      </c>
      <c r="N269" s="824">
        <v>0.69444444444444453</v>
      </c>
      <c r="O269" s="823" t="s">
        <v>356</v>
      </c>
      <c r="P269" s="823" t="s">
        <v>356</v>
      </c>
      <c r="Q269" s="823" t="s">
        <v>376</v>
      </c>
      <c r="R269" s="821">
        <v>4</v>
      </c>
      <c r="S269" s="822">
        <v>97.5</v>
      </c>
      <c r="T269" s="825">
        <v>8.2100000000000009</v>
      </c>
      <c r="U269" s="821">
        <v>0.4</v>
      </c>
      <c r="V269" s="573">
        <f t="shared" si="10"/>
        <v>320.19</v>
      </c>
    </row>
    <row r="270" spans="1:22" x14ac:dyDescent="0.25">
      <c r="A270" s="43">
        <f t="shared" si="9"/>
        <v>254</v>
      </c>
      <c r="B270" s="132" t="s">
        <v>293</v>
      </c>
      <c r="C270" s="43">
        <v>2019</v>
      </c>
      <c r="D270" s="17">
        <v>2776691.65</v>
      </c>
      <c r="E270" s="17">
        <f t="shared" si="8"/>
        <v>2776691.65</v>
      </c>
      <c r="F270" s="17"/>
      <c r="G270" s="17"/>
      <c r="H270" s="26">
        <f t="shared" si="11"/>
        <v>2776691.65</v>
      </c>
      <c r="I270" s="17"/>
      <c r="J270" s="820">
        <v>45089</v>
      </c>
      <c r="K270" s="821" t="s">
        <v>377</v>
      </c>
      <c r="L270" s="821">
        <v>19</v>
      </c>
      <c r="M270" s="821">
        <v>1730</v>
      </c>
      <c r="N270" s="824">
        <v>0.72916666666666663</v>
      </c>
      <c r="O270" s="823" t="s">
        <v>356</v>
      </c>
      <c r="P270" s="823" t="s">
        <v>356</v>
      </c>
      <c r="Q270" s="823" t="s">
        <v>363</v>
      </c>
      <c r="R270" s="821">
        <v>4</v>
      </c>
      <c r="S270" s="822">
        <v>41</v>
      </c>
      <c r="T270" s="825">
        <v>8.2100000000000009</v>
      </c>
      <c r="U270" s="821">
        <v>0.4</v>
      </c>
      <c r="V270" s="573">
        <f t="shared" si="10"/>
        <v>134.63999999999999</v>
      </c>
    </row>
    <row r="271" spans="1:22" x14ac:dyDescent="0.25">
      <c r="A271" s="43">
        <f t="shared" si="9"/>
        <v>255</v>
      </c>
      <c r="B271" s="132" t="s">
        <v>294</v>
      </c>
      <c r="C271" s="43">
        <v>2019</v>
      </c>
      <c r="D271" s="17">
        <v>2646984.35</v>
      </c>
      <c r="E271" s="17">
        <f t="shared" si="8"/>
        <v>2646984.35</v>
      </c>
      <c r="F271" s="17"/>
      <c r="G271" s="17"/>
      <c r="H271" s="26">
        <f t="shared" si="11"/>
        <v>2646984.35</v>
      </c>
      <c r="I271" s="17"/>
      <c r="J271" s="820">
        <v>45090</v>
      </c>
      <c r="K271" s="821" t="s">
        <v>361</v>
      </c>
      <c r="L271" s="821">
        <v>3</v>
      </c>
      <c r="M271" s="821">
        <v>600</v>
      </c>
      <c r="N271" s="824">
        <v>0.3611111111111111</v>
      </c>
      <c r="O271" s="823" t="s">
        <v>356</v>
      </c>
      <c r="P271" s="823" t="s">
        <v>356</v>
      </c>
      <c r="Q271" s="823" t="s">
        <v>355</v>
      </c>
      <c r="R271" s="821">
        <v>4</v>
      </c>
      <c r="S271" s="822">
        <v>85.3</v>
      </c>
      <c r="T271" s="825">
        <v>8.2100000000000009</v>
      </c>
      <c r="U271" s="821">
        <v>0.4</v>
      </c>
      <c r="V271" s="573">
        <f t="shared" si="10"/>
        <v>280.13</v>
      </c>
    </row>
    <row r="272" spans="1:22" x14ac:dyDescent="0.25">
      <c r="A272" s="43">
        <f t="shared" si="9"/>
        <v>256</v>
      </c>
      <c r="B272" s="132" t="s">
        <v>295</v>
      </c>
      <c r="C272" s="43">
        <v>2020</v>
      </c>
      <c r="D272" s="17">
        <v>2793419.97</v>
      </c>
      <c r="E272" s="17">
        <f t="shared" si="8"/>
        <v>2793419.97</v>
      </c>
      <c r="F272" s="17"/>
      <c r="G272" s="17"/>
      <c r="H272" s="26">
        <f t="shared" si="11"/>
        <v>2793419.97</v>
      </c>
      <c r="I272" s="13"/>
      <c r="J272" s="820">
        <v>45090</v>
      </c>
      <c r="K272" s="821" t="s">
        <v>377</v>
      </c>
      <c r="L272" s="821">
        <v>19</v>
      </c>
      <c r="M272" s="821">
        <v>600</v>
      </c>
      <c r="N272" s="824">
        <v>0.30902777777777779</v>
      </c>
      <c r="O272" s="823" t="s">
        <v>356</v>
      </c>
      <c r="P272" s="823" t="s">
        <v>363</v>
      </c>
      <c r="Q272" s="823" t="s">
        <v>356</v>
      </c>
      <c r="R272" s="821">
        <v>4</v>
      </c>
      <c r="S272" s="822">
        <v>41</v>
      </c>
      <c r="T272" s="825">
        <v>8.2100000000000009</v>
      </c>
      <c r="U272" s="821">
        <v>0.4</v>
      </c>
      <c r="V272" s="573">
        <f t="shared" si="10"/>
        <v>134.63999999999999</v>
      </c>
    </row>
    <row r="273" spans="1:22" x14ac:dyDescent="0.25">
      <c r="A273" s="43">
        <f t="shared" si="9"/>
        <v>257</v>
      </c>
      <c r="B273" s="132" t="s">
        <v>296</v>
      </c>
      <c r="C273" s="43">
        <v>2020</v>
      </c>
      <c r="D273" s="17">
        <v>2839432.58</v>
      </c>
      <c r="E273" s="17">
        <f t="shared" si="8"/>
        <v>2839432.58</v>
      </c>
      <c r="F273" s="17"/>
      <c r="G273" s="17"/>
      <c r="H273" s="26">
        <f t="shared" si="11"/>
        <v>2839432.58</v>
      </c>
      <c r="I273" s="13"/>
      <c r="J273" s="820">
        <v>45090</v>
      </c>
      <c r="K273" s="821" t="s">
        <v>357</v>
      </c>
      <c r="L273" s="821">
        <v>1</v>
      </c>
      <c r="M273" s="821">
        <v>620</v>
      </c>
      <c r="N273" s="824">
        <v>0.36805555555555558</v>
      </c>
      <c r="O273" s="823" t="s">
        <v>356</v>
      </c>
      <c r="P273" s="823" t="s">
        <v>416</v>
      </c>
      <c r="Q273" s="823" t="s">
        <v>356</v>
      </c>
      <c r="R273" s="821">
        <v>4</v>
      </c>
      <c r="S273" s="822">
        <v>81.8</v>
      </c>
      <c r="T273" s="825">
        <v>8.2100000000000009</v>
      </c>
      <c r="U273" s="821">
        <v>0.4</v>
      </c>
      <c r="V273" s="573">
        <f t="shared" si="10"/>
        <v>268.63</v>
      </c>
    </row>
    <row r="274" spans="1:22" x14ac:dyDescent="0.25">
      <c r="A274" s="43">
        <f t="shared" si="9"/>
        <v>258</v>
      </c>
      <c r="B274" s="132" t="s">
        <v>297</v>
      </c>
      <c r="C274" s="43">
        <v>2020</v>
      </c>
      <c r="D274" s="17">
        <v>2758811.58</v>
      </c>
      <c r="E274" s="17">
        <f t="shared" ref="E274:E335" si="12">D274</f>
        <v>2758811.58</v>
      </c>
      <c r="F274" s="17"/>
      <c r="G274" s="17"/>
      <c r="H274" s="26">
        <f t="shared" si="11"/>
        <v>2758811.58</v>
      </c>
      <c r="I274" s="13"/>
      <c r="J274" s="820">
        <v>45090</v>
      </c>
      <c r="K274" s="821" t="s">
        <v>373</v>
      </c>
      <c r="L274" s="821">
        <v>16</v>
      </c>
      <c r="M274" s="821">
        <v>500</v>
      </c>
      <c r="N274" s="824">
        <v>0.375</v>
      </c>
      <c r="O274" s="823" t="s">
        <v>356</v>
      </c>
      <c r="P274" s="823" t="s">
        <v>374</v>
      </c>
      <c r="Q274" s="823" t="s">
        <v>356</v>
      </c>
      <c r="R274" s="821">
        <v>4</v>
      </c>
      <c r="S274" s="822">
        <v>149.9</v>
      </c>
      <c r="T274" s="825">
        <v>8.2100000000000009</v>
      </c>
      <c r="U274" s="821">
        <v>0.4</v>
      </c>
      <c r="V274" s="573">
        <f t="shared" si="10"/>
        <v>492.27</v>
      </c>
    </row>
    <row r="275" spans="1:22" x14ac:dyDescent="0.25">
      <c r="A275" s="43">
        <f t="shared" si="9"/>
        <v>259</v>
      </c>
      <c r="B275" s="132" t="s">
        <v>298</v>
      </c>
      <c r="C275" s="43">
        <v>2020</v>
      </c>
      <c r="D275" s="17">
        <v>1656759.12</v>
      </c>
      <c r="E275" s="17">
        <f t="shared" si="12"/>
        <v>1656759.12</v>
      </c>
      <c r="F275" s="17"/>
      <c r="G275" s="17"/>
      <c r="H275" s="26">
        <f t="shared" si="11"/>
        <v>1656759.12</v>
      </c>
      <c r="I275" s="13"/>
      <c r="J275" s="820">
        <v>45090</v>
      </c>
      <c r="K275" s="821" t="s">
        <v>375</v>
      </c>
      <c r="L275" s="821">
        <v>18</v>
      </c>
      <c r="M275" s="821">
        <v>600</v>
      </c>
      <c r="N275" s="824">
        <v>0.375</v>
      </c>
      <c r="O275" s="823" t="s">
        <v>356</v>
      </c>
      <c r="P275" s="823" t="s">
        <v>376</v>
      </c>
      <c r="Q275" s="823" t="s">
        <v>356</v>
      </c>
      <c r="R275" s="821">
        <v>4</v>
      </c>
      <c r="S275" s="822">
        <v>97.5</v>
      </c>
      <c r="T275" s="825">
        <v>8.2100000000000009</v>
      </c>
      <c r="U275" s="821">
        <v>0.4</v>
      </c>
      <c r="V275" s="573">
        <f t="shared" si="10"/>
        <v>320.19</v>
      </c>
    </row>
    <row r="276" spans="1:22" x14ac:dyDescent="0.25">
      <c r="A276" s="43">
        <f t="shared" ref="A276" si="13">A275+1</f>
        <v>260</v>
      </c>
      <c r="B276" s="132" t="s">
        <v>299</v>
      </c>
      <c r="C276" s="43">
        <v>2020</v>
      </c>
      <c r="D276" s="17">
        <v>2376903.4300000002</v>
      </c>
      <c r="E276" s="17">
        <f t="shared" si="12"/>
        <v>2376903.4300000002</v>
      </c>
      <c r="F276" s="17"/>
      <c r="G276" s="17"/>
      <c r="H276" s="26">
        <f t="shared" si="11"/>
        <v>2376903.4300000002</v>
      </c>
      <c r="I276" s="13"/>
      <c r="J276" s="820">
        <v>45090</v>
      </c>
      <c r="K276" s="821" t="s">
        <v>383</v>
      </c>
      <c r="L276" s="821">
        <v>25</v>
      </c>
      <c r="M276" s="821">
        <v>600</v>
      </c>
      <c r="N276" s="824">
        <v>0.375</v>
      </c>
      <c r="O276" s="823" t="s">
        <v>356</v>
      </c>
      <c r="P276" s="823" t="s">
        <v>417</v>
      </c>
      <c r="Q276" s="823" t="s">
        <v>356</v>
      </c>
      <c r="R276" s="821">
        <v>4</v>
      </c>
      <c r="S276" s="822">
        <v>70.3</v>
      </c>
      <c r="T276" s="825">
        <v>8.2100000000000009</v>
      </c>
      <c r="U276" s="821">
        <v>0.4</v>
      </c>
      <c r="V276" s="573">
        <f t="shared" si="10"/>
        <v>230.87</v>
      </c>
    </row>
    <row r="277" spans="1:22" x14ac:dyDescent="0.25">
      <c r="A277" s="43">
        <v>261</v>
      </c>
      <c r="B277" s="132" t="s">
        <v>300</v>
      </c>
      <c r="C277" s="43">
        <v>2020</v>
      </c>
      <c r="D277" s="17">
        <v>2366868.35</v>
      </c>
      <c r="E277" s="17">
        <f t="shared" si="12"/>
        <v>2366868.35</v>
      </c>
      <c r="F277" s="17"/>
      <c r="G277" s="17"/>
      <c r="H277" s="26">
        <f t="shared" si="11"/>
        <v>2366868.35</v>
      </c>
      <c r="I277" s="13"/>
      <c r="J277" s="820">
        <v>45090</v>
      </c>
      <c r="K277" s="821" t="s">
        <v>386</v>
      </c>
      <c r="L277" s="821">
        <v>26</v>
      </c>
      <c r="M277" s="821">
        <v>600</v>
      </c>
      <c r="N277" s="824">
        <v>0.375</v>
      </c>
      <c r="O277" s="823" t="s">
        <v>356</v>
      </c>
      <c r="P277" s="823" t="s">
        <v>419</v>
      </c>
      <c r="Q277" s="823" t="s">
        <v>356</v>
      </c>
      <c r="R277" s="821">
        <v>4</v>
      </c>
      <c r="S277" s="822">
        <v>78</v>
      </c>
      <c r="T277" s="825">
        <v>8.2100000000000009</v>
      </c>
      <c r="U277" s="821">
        <v>0.4</v>
      </c>
      <c r="V277" s="573">
        <f t="shared" si="10"/>
        <v>256.14999999999998</v>
      </c>
    </row>
    <row r="278" spans="1:22" x14ac:dyDescent="0.25">
      <c r="A278" s="43">
        <v>262</v>
      </c>
      <c r="B278" s="132" t="s">
        <v>289</v>
      </c>
      <c r="C278" s="43">
        <v>2020</v>
      </c>
      <c r="D278" s="17">
        <v>2213597.9700000002</v>
      </c>
      <c r="E278" s="17">
        <f t="shared" si="12"/>
        <v>2213597.9700000002</v>
      </c>
      <c r="F278" s="17"/>
      <c r="G278" s="17"/>
      <c r="H278" s="26">
        <f t="shared" si="11"/>
        <v>2213597.9700000002</v>
      </c>
      <c r="I278" s="13"/>
      <c r="J278" s="820">
        <v>45090</v>
      </c>
      <c r="K278" s="821" t="s">
        <v>358</v>
      </c>
      <c r="L278" s="821">
        <v>19</v>
      </c>
      <c r="M278" s="821">
        <v>800</v>
      </c>
      <c r="N278" s="824">
        <v>0.375</v>
      </c>
      <c r="O278" s="823" t="s">
        <v>356</v>
      </c>
      <c r="P278" s="823" t="s">
        <v>359</v>
      </c>
      <c r="Q278" s="823" t="s">
        <v>356</v>
      </c>
      <c r="R278" s="821">
        <v>4</v>
      </c>
      <c r="S278" s="822">
        <v>35.799999999999997</v>
      </c>
      <c r="T278" s="825">
        <v>8.2100000000000009</v>
      </c>
      <c r="U278" s="821">
        <v>0.4</v>
      </c>
      <c r="V278" s="573">
        <f t="shared" si="10"/>
        <v>117.57</v>
      </c>
    </row>
    <row r="279" spans="1:22" x14ac:dyDescent="0.25">
      <c r="A279" s="43">
        <v>263</v>
      </c>
      <c r="B279" s="132" t="s">
        <v>290</v>
      </c>
      <c r="C279" s="43">
        <v>2020</v>
      </c>
      <c r="D279" s="17">
        <v>2737288.37</v>
      </c>
      <c r="E279" s="17">
        <f t="shared" si="12"/>
        <v>2737288.37</v>
      </c>
      <c r="F279" s="17"/>
      <c r="G279" s="17"/>
      <c r="H279" s="26">
        <f t="shared" si="11"/>
        <v>2737288.37</v>
      </c>
      <c r="I279" s="13"/>
      <c r="J279" s="820">
        <v>45090</v>
      </c>
      <c r="K279" s="821">
        <v>8</v>
      </c>
      <c r="L279" s="821" t="s">
        <v>418</v>
      </c>
      <c r="M279" s="821">
        <v>600</v>
      </c>
      <c r="N279" s="824">
        <v>0.3888888888888889</v>
      </c>
      <c r="O279" s="823" t="s">
        <v>356</v>
      </c>
      <c r="P279" s="823" t="s">
        <v>382</v>
      </c>
      <c r="Q279" s="823" t="s">
        <v>356</v>
      </c>
      <c r="R279" s="821">
        <v>4</v>
      </c>
      <c r="S279" s="822">
        <v>78.8</v>
      </c>
      <c r="T279" s="825">
        <v>8.2100000000000009</v>
      </c>
      <c r="U279" s="821">
        <v>0.4</v>
      </c>
      <c r="V279" s="573">
        <f t="shared" si="10"/>
        <v>258.77999999999997</v>
      </c>
    </row>
    <row r="280" spans="1:22" x14ac:dyDescent="0.25">
      <c r="A280" s="43">
        <v>264</v>
      </c>
      <c r="B280" s="132" t="s">
        <v>291</v>
      </c>
      <c r="C280" s="43">
        <v>2020</v>
      </c>
      <c r="D280" s="17">
        <v>2645362.21</v>
      </c>
      <c r="E280" s="17">
        <f t="shared" si="12"/>
        <v>2645362.21</v>
      </c>
      <c r="F280" s="17"/>
      <c r="G280" s="17"/>
      <c r="H280" s="26">
        <f t="shared" si="11"/>
        <v>2645362.21</v>
      </c>
      <c r="I280" s="13"/>
      <c r="J280" s="820">
        <v>45090</v>
      </c>
      <c r="K280" s="821">
        <v>5</v>
      </c>
      <c r="L280" s="821">
        <v>15</v>
      </c>
      <c r="M280" s="821">
        <v>530</v>
      </c>
      <c r="N280" s="824">
        <v>0.39583333333333331</v>
      </c>
      <c r="O280" s="823" t="s">
        <v>356</v>
      </c>
      <c r="P280" s="823" t="s">
        <v>372</v>
      </c>
      <c r="Q280" s="823" t="s">
        <v>356</v>
      </c>
      <c r="R280" s="821">
        <v>4</v>
      </c>
      <c r="S280" s="822">
        <v>117</v>
      </c>
      <c r="T280" s="825">
        <v>8.2100000000000009</v>
      </c>
      <c r="U280" s="821">
        <v>0.4</v>
      </c>
      <c r="V280" s="573">
        <f t="shared" si="10"/>
        <v>384.23</v>
      </c>
    </row>
    <row r="281" spans="1:22" x14ac:dyDescent="0.25">
      <c r="A281" s="43">
        <v>265</v>
      </c>
      <c r="B281" s="132" t="s">
        <v>292</v>
      </c>
      <c r="C281" s="43">
        <v>2020</v>
      </c>
      <c r="D281" s="17">
        <v>2680357.88</v>
      </c>
      <c r="E281" s="17">
        <f t="shared" si="12"/>
        <v>2680357.88</v>
      </c>
      <c r="F281" s="17"/>
      <c r="G281" s="17"/>
      <c r="H281" s="26">
        <f t="shared" si="11"/>
        <v>2680357.88</v>
      </c>
      <c r="I281" s="13"/>
      <c r="J281" s="820">
        <v>45090</v>
      </c>
      <c r="K281" s="821" t="s">
        <v>379</v>
      </c>
      <c r="L281" s="821">
        <v>22</v>
      </c>
      <c r="M281" s="821">
        <v>530</v>
      </c>
      <c r="N281" s="824">
        <v>0.39583333333333331</v>
      </c>
      <c r="O281" s="823" t="s">
        <v>356</v>
      </c>
      <c r="P281" s="823" t="s">
        <v>380</v>
      </c>
      <c r="Q281" s="823" t="s">
        <v>356</v>
      </c>
      <c r="R281" s="821">
        <v>4</v>
      </c>
      <c r="S281" s="822">
        <v>117.5</v>
      </c>
      <c r="T281" s="825">
        <v>8.2100000000000009</v>
      </c>
      <c r="U281" s="821">
        <v>0.4</v>
      </c>
      <c r="V281" s="573">
        <f t="shared" si="10"/>
        <v>385.87</v>
      </c>
    </row>
    <row r="282" spans="1:22" x14ac:dyDescent="0.25">
      <c r="A282" s="43">
        <v>266</v>
      </c>
      <c r="B282" s="132" t="s">
        <v>293</v>
      </c>
      <c r="C282" s="43">
        <v>2020</v>
      </c>
      <c r="D282" s="17">
        <v>2469156.5299999998</v>
      </c>
      <c r="E282" s="17">
        <f t="shared" si="12"/>
        <v>2469156.5299999998</v>
      </c>
      <c r="F282" s="17"/>
      <c r="G282" s="17"/>
      <c r="H282" s="26">
        <f t="shared" si="11"/>
        <v>2469156.5299999998</v>
      </c>
      <c r="I282" s="13"/>
      <c r="J282" s="820">
        <v>45090</v>
      </c>
      <c r="K282" s="821">
        <v>5</v>
      </c>
      <c r="L282" s="821">
        <v>15</v>
      </c>
      <c r="M282" s="821">
        <v>1100</v>
      </c>
      <c r="N282" s="824">
        <v>0.45833333333333331</v>
      </c>
      <c r="O282" s="823" t="s">
        <v>356</v>
      </c>
      <c r="P282" s="823" t="s">
        <v>356</v>
      </c>
      <c r="Q282" s="823" t="s">
        <v>372</v>
      </c>
      <c r="R282" s="821">
        <v>4</v>
      </c>
      <c r="S282" s="822">
        <v>117</v>
      </c>
      <c r="T282" s="825">
        <v>8.2100000000000009</v>
      </c>
      <c r="U282" s="821">
        <v>0.4</v>
      </c>
      <c r="V282" s="573">
        <f t="shared" si="10"/>
        <v>384.23</v>
      </c>
    </row>
    <row r="283" spans="1:22" x14ac:dyDescent="0.25">
      <c r="A283" s="43">
        <v>267</v>
      </c>
      <c r="B283" s="132" t="s">
        <v>294</v>
      </c>
      <c r="C283" s="43">
        <v>2020</v>
      </c>
      <c r="D283" s="17">
        <v>2666220.5099999998</v>
      </c>
      <c r="E283" s="17">
        <f t="shared" si="12"/>
        <v>2666220.5099999998</v>
      </c>
      <c r="F283" s="17"/>
      <c r="G283" s="17"/>
      <c r="H283" s="26">
        <f t="shared" si="11"/>
        <v>2666220.5099999998</v>
      </c>
      <c r="I283" s="13"/>
      <c r="J283" s="820">
        <v>45090</v>
      </c>
      <c r="K283" s="821" t="s">
        <v>360</v>
      </c>
      <c r="L283" s="821">
        <v>1</v>
      </c>
      <c r="M283" s="821">
        <v>1100</v>
      </c>
      <c r="N283" s="824">
        <v>0.45833333333333331</v>
      </c>
      <c r="O283" s="823" t="s">
        <v>356</v>
      </c>
      <c r="P283" s="823" t="s">
        <v>356</v>
      </c>
      <c r="Q283" s="823" t="s">
        <v>416</v>
      </c>
      <c r="R283" s="821">
        <v>4</v>
      </c>
      <c r="S283" s="822">
        <v>90</v>
      </c>
      <c r="T283" s="825">
        <v>8.2100000000000009</v>
      </c>
      <c r="U283" s="821">
        <v>0.4</v>
      </c>
      <c r="V283" s="573">
        <f t="shared" si="10"/>
        <v>295.56</v>
      </c>
    </row>
    <row r="284" spans="1:22" x14ac:dyDescent="0.25">
      <c r="A284" s="43">
        <v>268</v>
      </c>
      <c r="B284" s="132" t="s">
        <v>295</v>
      </c>
      <c r="C284" s="43">
        <v>2021</v>
      </c>
      <c r="D284" s="17">
        <v>2543519.2599999998</v>
      </c>
      <c r="E284" s="17">
        <f t="shared" si="12"/>
        <v>2543519.2599999998</v>
      </c>
      <c r="F284" s="17"/>
      <c r="G284" s="17"/>
      <c r="H284" s="26">
        <f t="shared" si="11"/>
        <v>2543519.2599999998</v>
      </c>
      <c r="I284" s="13"/>
      <c r="J284" s="820">
        <v>45090</v>
      </c>
      <c r="K284" s="821" t="s">
        <v>378</v>
      </c>
      <c r="L284" s="821">
        <v>21</v>
      </c>
      <c r="M284" s="821">
        <v>1100</v>
      </c>
      <c r="N284" s="824">
        <v>0.45833333333333331</v>
      </c>
      <c r="O284" s="823" t="s">
        <v>356</v>
      </c>
      <c r="P284" s="823" t="s">
        <v>356</v>
      </c>
      <c r="Q284" s="823" t="s">
        <v>374</v>
      </c>
      <c r="R284" s="821">
        <v>4</v>
      </c>
      <c r="S284" s="822">
        <v>136.5</v>
      </c>
      <c r="T284" s="825">
        <v>8.2100000000000009</v>
      </c>
      <c r="U284" s="821">
        <v>0.4</v>
      </c>
      <c r="V284" s="573">
        <f t="shared" si="10"/>
        <v>448.27</v>
      </c>
    </row>
    <row r="285" spans="1:22" x14ac:dyDescent="0.25">
      <c r="A285" s="43">
        <v>269</v>
      </c>
      <c r="B285" s="132" t="s">
        <v>296</v>
      </c>
      <c r="C285" s="43">
        <v>2021</v>
      </c>
      <c r="D285" s="17">
        <v>2481269.36</v>
      </c>
      <c r="E285" s="17">
        <f t="shared" si="12"/>
        <v>2481269.36</v>
      </c>
      <c r="F285" s="17"/>
      <c r="G285" s="17"/>
      <c r="H285" s="26">
        <f t="shared" si="11"/>
        <v>2481269.36</v>
      </c>
      <c r="I285" s="13"/>
      <c r="J285" s="820">
        <v>45090</v>
      </c>
      <c r="K285" s="821" t="s">
        <v>360</v>
      </c>
      <c r="L285" s="821">
        <v>2</v>
      </c>
      <c r="M285" s="821">
        <v>920</v>
      </c>
      <c r="N285" s="824">
        <v>0.49305555555555558</v>
      </c>
      <c r="O285" s="823" t="s">
        <v>356</v>
      </c>
      <c r="P285" s="823" t="s">
        <v>416</v>
      </c>
      <c r="Q285" s="823" t="s">
        <v>356</v>
      </c>
      <c r="R285" s="821">
        <v>4</v>
      </c>
      <c r="S285" s="822">
        <v>90</v>
      </c>
      <c r="T285" s="825">
        <v>8.2100000000000009</v>
      </c>
      <c r="U285" s="821">
        <v>0.4</v>
      </c>
      <c r="V285" s="573">
        <f t="shared" si="10"/>
        <v>295.56</v>
      </c>
    </row>
    <row r="286" spans="1:22" x14ac:dyDescent="0.25">
      <c r="A286" s="43">
        <v>270</v>
      </c>
      <c r="B286" s="132" t="s">
        <v>297</v>
      </c>
      <c r="C286" s="43">
        <v>2021</v>
      </c>
      <c r="D286" s="17">
        <v>2695839.03</v>
      </c>
      <c r="E286" s="17">
        <f t="shared" si="12"/>
        <v>2695839.03</v>
      </c>
      <c r="F286" s="17"/>
      <c r="G286" s="17"/>
      <c r="H286" s="26">
        <f t="shared" si="11"/>
        <v>2695839.03</v>
      </c>
      <c r="I286" s="13"/>
      <c r="J286" s="820">
        <v>45090</v>
      </c>
      <c r="K286" s="821" t="s">
        <v>373</v>
      </c>
      <c r="L286" s="821">
        <v>17</v>
      </c>
      <c r="M286" s="821">
        <v>1200</v>
      </c>
      <c r="N286" s="824">
        <v>0.5</v>
      </c>
      <c r="O286" s="823" t="s">
        <v>356</v>
      </c>
      <c r="P286" s="823" t="s">
        <v>356</v>
      </c>
      <c r="Q286" s="823" t="s">
        <v>374</v>
      </c>
      <c r="R286" s="821">
        <v>4</v>
      </c>
      <c r="S286" s="822">
        <v>149.9</v>
      </c>
      <c r="T286" s="825">
        <v>8.2100000000000009</v>
      </c>
      <c r="U286" s="821">
        <v>0.4</v>
      </c>
      <c r="V286" s="573">
        <f t="shared" si="10"/>
        <v>492.27</v>
      </c>
    </row>
    <row r="287" spans="1:22" x14ac:dyDescent="0.25">
      <c r="A287" s="43">
        <v>271</v>
      </c>
      <c r="B287" s="132" t="s">
        <v>298</v>
      </c>
      <c r="C287" s="43">
        <v>2021</v>
      </c>
      <c r="D287" s="17">
        <v>2796796.5</v>
      </c>
      <c r="E287" s="17">
        <f t="shared" si="12"/>
        <v>2796796.5</v>
      </c>
      <c r="F287" s="17"/>
      <c r="G287" s="17"/>
      <c r="H287" s="26">
        <f t="shared" si="11"/>
        <v>2796796.5</v>
      </c>
      <c r="I287" s="13"/>
      <c r="J287" s="820">
        <v>45090</v>
      </c>
      <c r="K287" s="821" t="s">
        <v>383</v>
      </c>
      <c r="L287" s="821">
        <v>25</v>
      </c>
      <c r="M287" s="821">
        <v>1200</v>
      </c>
      <c r="N287" s="824">
        <v>0.5</v>
      </c>
      <c r="O287" s="823" t="s">
        <v>356</v>
      </c>
      <c r="P287" s="823" t="s">
        <v>356</v>
      </c>
      <c r="Q287" s="823" t="s">
        <v>417</v>
      </c>
      <c r="R287" s="821">
        <v>4</v>
      </c>
      <c r="S287" s="822">
        <v>70.3</v>
      </c>
      <c r="T287" s="825">
        <v>8.2100000000000009</v>
      </c>
      <c r="U287" s="821">
        <v>0.4</v>
      </c>
      <c r="V287" s="573">
        <f t="shared" si="10"/>
        <v>230.87</v>
      </c>
    </row>
    <row r="288" spans="1:22" x14ac:dyDescent="0.25">
      <c r="A288" s="43">
        <v>272</v>
      </c>
      <c r="B288" s="132" t="s">
        <v>299</v>
      </c>
      <c r="C288" s="43">
        <v>2021</v>
      </c>
      <c r="D288" s="17">
        <v>2800161.88</v>
      </c>
      <c r="E288" s="17">
        <f t="shared" si="12"/>
        <v>2800161.88</v>
      </c>
      <c r="F288" s="17"/>
      <c r="G288" s="17"/>
      <c r="H288" s="26">
        <f t="shared" si="11"/>
        <v>2800161.88</v>
      </c>
      <c r="I288" s="13"/>
      <c r="J288" s="820">
        <v>45090</v>
      </c>
      <c r="K288" s="821">
        <v>8</v>
      </c>
      <c r="L288" s="821" t="s">
        <v>418</v>
      </c>
      <c r="M288" s="821">
        <v>1230</v>
      </c>
      <c r="N288" s="824">
        <v>0.52083333333333337</v>
      </c>
      <c r="O288" s="823" t="s">
        <v>356</v>
      </c>
      <c r="P288" s="823" t="s">
        <v>356</v>
      </c>
      <c r="Q288" s="823" t="s">
        <v>382</v>
      </c>
      <c r="R288" s="821">
        <v>4</v>
      </c>
      <c r="S288" s="822">
        <v>78.8</v>
      </c>
      <c r="T288" s="825">
        <v>8.2100000000000009</v>
      </c>
      <c r="U288" s="821">
        <v>0.4</v>
      </c>
      <c r="V288" s="573">
        <f t="shared" si="10"/>
        <v>258.77999999999997</v>
      </c>
    </row>
    <row r="289" spans="1:22" x14ac:dyDescent="0.25">
      <c r="A289" s="43">
        <v>273</v>
      </c>
      <c r="B289" s="132" t="s">
        <v>300</v>
      </c>
      <c r="C289" s="43">
        <v>2021</v>
      </c>
      <c r="D289" s="17">
        <v>2639490.4399999976</v>
      </c>
      <c r="E289" s="17">
        <f t="shared" si="12"/>
        <v>2639490.4399999976</v>
      </c>
      <c r="F289" s="17"/>
      <c r="G289" s="17"/>
      <c r="H289" s="26">
        <f t="shared" si="11"/>
        <v>2639490.4399999976</v>
      </c>
      <c r="I289" s="13"/>
      <c r="J289" s="820">
        <v>45090</v>
      </c>
      <c r="K289" s="821" t="s">
        <v>358</v>
      </c>
      <c r="L289" s="821">
        <v>19</v>
      </c>
      <c r="M289" s="821">
        <v>1300</v>
      </c>
      <c r="N289" s="824">
        <v>0.54166666666666663</v>
      </c>
      <c r="O289" s="823" t="s">
        <v>356</v>
      </c>
      <c r="P289" s="823" t="s">
        <v>356</v>
      </c>
      <c r="Q289" s="823" t="s">
        <v>359</v>
      </c>
      <c r="R289" s="821">
        <v>4</v>
      </c>
      <c r="S289" s="822">
        <v>35.799999999999997</v>
      </c>
      <c r="T289" s="825">
        <v>8.2100000000000009</v>
      </c>
      <c r="U289" s="821">
        <v>0.4</v>
      </c>
      <c r="V289" s="573">
        <f t="shared" si="10"/>
        <v>117.57</v>
      </c>
    </row>
    <row r="290" spans="1:22" x14ac:dyDescent="0.25">
      <c r="A290" s="43">
        <v>274</v>
      </c>
      <c r="B290" s="132" t="s">
        <v>289</v>
      </c>
      <c r="C290" s="43">
        <v>2021</v>
      </c>
      <c r="D290" s="17">
        <v>2637762.4700000002</v>
      </c>
      <c r="E290" s="17">
        <f t="shared" si="12"/>
        <v>2637762.4700000002</v>
      </c>
      <c r="F290" s="17"/>
      <c r="G290" s="17"/>
      <c r="H290" s="26">
        <f t="shared" si="11"/>
        <v>2637762.4700000002</v>
      </c>
      <c r="I290" s="13"/>
      <c r="J290" s="820">
        <v>45090</v>
      </c>
      <c r="K290" s="821" t="s">
        <v>379</v>
      </c>
      <c r="L290" s="821">
        <v>22</v>
      </c>
      <c r="M290" s="821">
        <v>1300</v>
      </c>
      <c r="N290" s="824">
        <v>0.54166666666666663</v>
      </c>
      <c r="O290" s="823" t="s">
        <v>356</v>
      </c>
      <c r="P290" s="823" t="s">
        <v>356</v>
      </c>
      <c r="Q290" s="823" t="s">
        <v>380</v>
      </c>
      <c r="R290" s="821">
        <v>4</v>
      </c>
      <c r="S290" s="822">
        <v>117.5</v>
      </c>
      <c r="T290" s="825">
        <v>8.2100000000000009</v>
      </c>
      <c r="U290" s="821">
        <v>0.4</v>
      </c>
      <c r="V290" s="573">
        <f t="shared" si="10"/>
        <v>385.87</v>
      </c>
    </row>
    <row r="291" spans="1:22" x14ac:dyDescent="0.25">
      <c r="A291" s="43">
        <v>275</v>
      </c>
      <c r="B291" s="132" t="s">
        <v>290</v>
      </c>
      <c r="C291" s="43">
        <v>2021</v>
      </c>
      <c r="D291" s="17">
        <v>2818432.91</v>
      </c>
      <c r="E291" s="17">
        <f t="shared" si="12"/>
        <v>2818432.91</v>
      </c>
      <c r="F291" s="17"/>
      <c r="G291" s="17"/>
      <c r="H291" s="26">
        <f t="shared" si="11"/>
        <v>2818432.91</v>
      </c>
      <c r="I291" s="13"/>
      <c r="J291" s="820">
        <v>45090</v>
      </c>
      <c r="K291" s="821" t="s">
        <v>357</v>
      </c>
      <c r="L291" s="821">
        <v>2</v>
      </c>
      <c r="M291" s="821">
        <v>1400</v>
      </c>
      <c r="N291" s="824">
        <v>0.58333333333333337</v>
      </c>
      <c r="O291" s="823" t="s">
        <v>356</v>
      </c>
      <c r="P291" s="823" t="s">
        <v>356</v>
      </c>
      <c r="Q291" s="823" t="s">
        <v>416</v>
      </c>
      <c r="R291" s="821">
        <v>4</v>
      </c>
      <c r="S291" s="822">
        <v>90</v>
      </c>
      <c r="T291" s="825">
        <v>8.2100000000000009</v>
      </c>
      <c r="U291" s="821">
        <v>0.4</v>
      </c>
      <c r="V291" s="573">
        <f t="shared" si="10"/>
        <v>295.56</v>
      </c>
    </row>
    <row r="292" spans="1:22" x14ac:dyDescent="0.25">
      <c r="A292" s="43">
        <v>276</v>
      </c>
      <c r="B292" s="132" t="s">
        <v>291</v>
      </c>
      <c r="C292" s="43">
        <v>2021</v>
      </c>
      <c r="D292" s="17">
        <v>2839620.71</v>
      </c>
      <c r="E292" s="17">
        <f t="shared" si="12"/>
        <v>2839620.71</v>
      </c>
      <c r="F292" s="17"/>
      <c r="G292" s="17"/>
      <c r="H292" s="26">
        <f t="shared" si="11"/>
        <v>2839620.71</v>
      </c>
      <c r="I292" s="13"/>
      <c r="J292" s="820">
        <v>45090</v>
      </c>
      <c r="K292" s="821" t="s">
        <v>386</v>
      </c>
      <c r="L292" s="821">
        <v>26</v>
      </c>
      <c r="M292" s="821">
        <v>1400</v>
      </c>
      <c r="N292" s="824">
        <v>0.58333333333333337</v>
      </c>
      <c r="O292" s="823" t="s">
        <v>356</v>
      </c>
      <c r="P292" s="823" t="s">
        <v>356</v>
      </c>
      <c r="Q292" s="823" t="s">
        <v>419</v>
      </c>
      <c r="R292" s="821">
        <v>4</v>
      </c>
      <c r="S292" s="822">
        <v>78</v>
      </c>
      <c r="T292" s="825">
        <v>8.2100000000000009</v>
      </c>
      <c r="U292" s="821">
        <v>0.4</v>
      </c>
      <c r="V292" s="573">
        <f t="shared" si="10"/>
        <v>256.14999999999998</v>
      </c>
    </row>
    <row r="293" spans="1:22" x14ac:dyDescent="0.25">
      <c r="A293" s="43">
        <v>277</v>
      </c>
      <c r="B293" s="132" t="s">
        <v>292</v>
      </c>
      <c r="C293" s="43">
        <v>2021</v>
      </c>
      <c r="D293" s="17">
        <v>3016442.88</v>
      </c>
      <c r="E293" s="17">
        <f t="shared" si="12"/>
        <v>3016442.88</v>
      </c>
      <c r="F293" s="17"/>
      <c r="G293" s="17"/>
      <c r="H293" s="26">
        <f t="shared" si="11"/>
        <v>3016442.88</v>
      </c>
      <c r="I293" s="13"/>
      <c r="J293" s="820">
        <v>45090</v>
      </c>
      <c r="K293" s="821" t="s">
        <v>378</v>
      </c>
      <c r="L293" s="821">
        <v>20</v>
      </c>
      <c r="M293" s="821">
        <v>1000</v>
      </c>
      <c r="N293" s="824">
        <v>0.59375</v>
      </c>
      <c r="O293" s="823" t="s">
        <v>356</v>
      </c>
      <c r="P293" s="823" t="s">
        <v>374</v>
      </c>
      <c r="Q293" s="823" t="s">
        <v>356</v>
      </c>
      <c r="R293" s="821">
        <v>4</v>
      </c>
      <c r="S293" s="822">
        <v>136.5</v>
      </c>
      <c r="T293" s="825">
        <v>8.2100000000000009</v>
      </c>
      <c r="U293" s="821">
        <v>0.4</v>
      </c>
      <c r="V293" s="573">
        <f t="shared" si="10"/>
        <v>448.27</v>
      </c>
    </row>
    <row r="294" spans="1:22" x14ac:dyDescent="0.25">
      <c r="A294" s="43">
        <v>278</v>
      </c>
      <c r="B294" s="132" t="s">
        <v>293</v>
      </c>
      <c r="C294" s="43">
        <v>2021</v>
      </c>
      <c r="D294" s="17">
        <v>2937738.73</v>
      </c>
      <c r="E294" s="17">
        <f t="shared" si="12"/>
        <v>2937738.73</v>
      </c>
      <c r="F294" s="17"/>
      <c r="G294" s="17"/>
      <c r="H294" s="26">
        <f t="shared" si="11"/>
        <v>2937738.73</v>
      </c>
      <c r="I294" s="13"/>
      <c r="J294" s="820">
        <v>45090</v>
      </c>
      <c r="K294" s="821" t="s">
        <v>361</v>
      </c>
      <c r="L294" s="821">
        <v>3</v>
      </c>
      <c r="M294" s="821">
        <v>1330</v>
      </c>
      <c r="N294" s="824">
        <v>0.67013888888888884</v>
      </c>
      <c r="O294" s="823" t="s">
        <v>356</v>
      </c>
      <c r="P294" s="823" t="s">
        <v>355</v>
      </c>
      <c r="Q294" s="823" t="s">
        <v>356</v>
      </c>
      <c r="R294" s="821">
        <v>4</v>
      </c>
      <c r="S294" s="822">
        <v>85.3</v>
      </c>
      <c r="T294" s="825">
        <v>8.2100000000000009</v>
      </c>
      <c r="U294" s="821">
        <v>0.4</v>
      </c>
      <c r="V294" s="573">
        <f t="shared" si="10"/>
        <v>280.13</v>
      </c>
    </row>
    <row r="295" spans="1:22" x14ac:dyDescent="0.25">
      <c r="A295" s="43">
        <v>279</v>
      </c>
      <c r="B295" s="132" t="s">
        <v>294</v>
      </c>
      <c r="C295" s="43">
        <v>2021</v>
      </c>
      <c r="D295" s="17">
        <v>3135270.81</v>
      </c>
      <c r="E295" s="17">
        <f t="shared" si="12"/>
        <v>3135270.81</v>
      </c>
      <c r="F295" s="17"/>
      <c r="G295" s="17"/>
      <c r="H295" s="26">
        <f t="shared" si="11"/>
        <v>3135270.81</v>
      </c>
      <c r="I295" s="13"/>
      <c r="J295" s="820">
        <v>45090</v>
      </c>
      <c r="K295" s="821" t="s">
        <v>375</v>
      </c>
      <c r="L295" s="821">
        <v>18</v>
      </c>
      <c r="M295" s="821">
        <v>1640</v>
      </c>
      <c r="N295" s="824">
        <v>0.69444444444444453</v>
      </c>
      <c r="O295" s="823" t="s">
        <v>356</v>
      </c>
      <c r="P295" s="823" t="s">
        <v>356</v>
      </c>
      <c r="Q295" s="823" t="s">
        <v>376</v>
      </c>
      <c r="R295" s="821">
        <v>4</v>
      </c>
      <c r="S295" s="822">
        <v>97.5</v>
      </c>
      <c r="T295" s="825">
        <v>8.2100000000000009</v>
      </c>
      <c r="U295" s="821">
        <v>0.4</v>
      </c>
      <c r="V295" s="573">
        <f t="shared" si="10"/>
        <v>320.19</v>
      </c>
    </row>
    <row r="296" spans="1:22" x14ac:dyDescent="0.25">
      <c r="A296" s="43">
        <v>280</v>
      </c>
      <c r="B296" s="132" t="s">
        <v>295</v>
      </c>
      <c r="C296" s="43">
        <v>2022</v>
      </c>
      <c r="D296" s="17">
        <v>3109313.45</v>
      </c>
      <c r="E296" s="17">
        <f t="shared" si="12"/>
        <v>3109313.45</v>
      </c>
      <c r="F296" s="17"/>
      <c r="G296" s="17"/>
      <c r="H296" s="26">
        <f t="shared" si="11"/>
        <v>3109313.45</v>
      </c>
      <c r="I296" s="13"/>
      <c r="J296" s="820">
        <v>45090</v>
      </c>
      <c r="K296" s="821" t="s">
        <v>377</v>
      </c>
      <c r="L296" s="821">
        <v>19</v>
      </c>
      <c r="M296" s="821">
        <v>1730</v>
      </c>
      <c r="N296" s="824">
        <v>0.72916666666666663</v>
      </c>
      <c r="O296" s="823" t="s">
        <v>356</v>
      </c>
      <c r="P296" s="823" t="s">
        <v>356</v>
      </c>
      <c r="Q296" s="823" t="s">
        <v>363</v>
      </c>
      <c r="R296" s="821">
        <v>4</v>
      </c>
      <c r="S296" s="822">
        <v>41</v>
      </c>
      <c r="T296" s="825">
        <v>8.2100000000000009</v>
      </c>
      <c r="U296" s="821">
        <v>0.4</v>
      </c>
      <c r="V296" s="573">
        <f>ROUND(S296*T296*U296,2)</f>
        <v>134.63999999999999</v>
      </c>
    </row>
    <row r="297" spans="1:22" x14ac:dyDescent="0.25">
      <c r="A297" s="43">
        <v>281</v>
      </c>
      <c r="B297" s="132" t="s">
        <v>296</v>
      </c>
      <c r="C297" s="43">
        <v>2022</v>
      </c>
      <c r="D297" s="17">
        <v>2939961.49</v>
      </c>
      <c r="E297" s="17">
        <f t="shared" si="12"/>
        <v>2939961.49</v>
      </c>
      <c r="F297" s="17"/>
      <c r="G297" s="17"/>
      <c r="H297" s="26">
        <f t="shared" si="11"/>
        <v>2939961.49</v>
      </c>
      <c r="I297" s="13"/>
      <c r="V297" s="826">
        <f>SUM(V259:V296)</f>
        <v>11393.21</v>
      </c>
    </row>
    <row r="298" spans="1:22" x14ac:dyDescent="0.25">
      <c r="A298" s="43">
        <v>282</v>
      </c>
      <c r="B298" s="132" t="s">
        <v>297</v>
      </c>
      <c r="C298" s="43">
        <v>2022</v>
      </c>
      <c r="D298" s="17">
        <v>3082347.02</v>
      </c>
      <c r="E298" s="17">
        <f t="shared" si="12"/>
        <v>3082347.02</v>
      </c>
      <c r="F298" s="17"/>
      <c r="G298" s="17"/>
      <c r="H298" s="26">
        <f t="shared" si="11"/>
        <v>3082347.02</v>
      </c>
      <c r="I298" s="13"/>
    </row>
    <row r="299" spans="1:22" x14ac:dyDescent="0.25">
      <c r="A299" s="43">
        <v>283</v>
      </c>
      <c r="B299" s="132" t="s">
        <v>298</v>
      </c>
      <c r="C299" s="43">
        <v>2022</v>
      </c>
      <c r="D299" s="17">
        <v>3346770.78</v>
      </c>
      <c r="E299" s="17">
        <f t="shared" si="12"/>
        <v>3346770.78</v>
      </c>
      <c r="F299" s="17"/>
      <c r="G299" s="17"/>
      <c r="H299" s="26">
        <f t="shared" si="11"/>
        <v>3346770.78</v>
      </c>
      <c r="I299" s="13"/>
      <c r="J299" s="828"/>
      <c r="K299" s="827"/>
      <c r="L299" s="827"/>
      <c r="M299" s="827"/>
      <c r="N299" s="827"/>
      <c r="T299" s="827"/>
    </row>
    <row r="300" spans="1:22" x14ac:dyDescent="0.25">
      <c r="A300" s="43">
        <v>284</v>
      </c>
      <c r="B300" s="132" t="s">
        <v>299</v>
      </c>
      <c r="C300" s="43">
        <v>2022</v>
      </c>
      <c r="D300" s="17">
        <v>3407939.68</v>
      </c>
      <c r="E300" s="17">
        <f t="shared" si="12"/>
        <v>3407939.68</v>
      </c>
      <c r="F300" s="17"/>
      <c r="G300" s="17"/>
      <c r="H300" s="26">
        <f t="shared" si="11"/>
        <v>3407939.68</v>
      </c>
      <c r="I300" s="13"/>
      <c r="J300" s="828"/>
      <c r="K300" s="827"/>
      <c r="L300" s="827"/>
      <c r="M300" s="827"/>
      <c r="N300" s="830"/>
      <c r="T300" s="827"/>
    </row>
    <row r="301" spans="1:22" x14ac:dyDescent="0.25">
      <c r="A301" s="43">
        <v>285</v>
      </c>
      <c r="B301" s="132" t="s">
        <v>300</v>
      </c>
      <c r="C301" s="43">
        <v>2022</v>
      </c>
      <c r="D301" s="17">
        <v>3398356.72</v>
      </c>
      <c r="E301" s="17">
        <f t="shared" si="12"/>
        <v>3398356.72</v>
      </c>
      <c r="F301" s="17"/>
      <c r="G301" s="17"/>
      <c r="H301" s="26">
        <f t="shared" si="11"/>
        <v>3398356.72</v>
      </c>
      <c r="I301" s="13"/>
      <c r="J301" s="828"/>
      <c r="K301" s="827"/>
      <c r="L301" s="827"/>
      <c r="M301" s="827"/>
      <c r="N301" s="829"/>
      <c r="T301" s="827"/>
    </row>
    <row r="302" spans="1:22" x14ac:dyDescent="0.25">
      <c r="A302" s="43">
        <v>286</v>
      </c>
      <c r="B302" s="132" t="s">
        <v>289</v>
      </c>
      <c r="C302" s="43">
        <v>2022</v>
      </c>
      <c r="D302" s="17">
        <v>3651163.8</v>
      </c>
      <c r="E302" s="17">
        <f t="shared" si="12"/>
        <v>3651163.8</v>
      </c>
      <c r="F302" s="17"/>
      <c r="G302" s="17"/>
      <c r="H302" s="26">
        <f t="shared" si="11"/>
        <v>3651163.8</v>
      </c>
      <c r="I302" s="13"/>
      <c r="J302" s="828"/>
      <c r="K302" s="827"/>
      <c r="L302" s="827"/>
      <c r="M302" s="827"/>
      <c r="N302" s="831"/>
      <c r="T302" s="827"/>
    </row>
    <row r="303" spans="1:22" x14ac:dyDescent="0.25">
      <c r="A303" s="43">
        <v>287</v>
      </c>
      <c r="B303" s="132" t="s">
        <v>290</v>
      </c>
      <c r="C303" s="43">
        <v>2022</v>
      </c>
      <c r="D303" s="17">
        <v>3953348.64</v>
      </c>
      <c r="E303" s="17">
        <f t="shared" si="12"/>
        <v>3953348.64</v>
      </c>
      <c r="F303" s="17"/>
      <c r="G303" s="17"/>
      <c r="H303" s="26">
        <f t="shared" si="11"/>
        <v>3953348.64</v>
      </c>
      <c r="I303" s="13"/>
    </row>
    <row r="304" spans="1:22" x14ac:dyDescent="0.25">
      <c r="A304" s="43">
        <v>288</v>
      </c>
      <c r="B304" s="132" t="s">
        <v>291</v>
      </c>
      <c r="C304" s="43">
        <v>2022</v>
      </c>
      <c r="D304" s="17">
        <v>3502715.76</v>
      </c>
      <c r="E304" s="17">
        <f t="shared" si="12"/>
        <v>3502715.76</v>
      </c>
      <c r="F304" s="17"/>
      <c r="G304" s="17"/>
      <c r="H304" s="26">
        <f t="shared" si="11"/>
        <v>3502715.76</v>
      </c>
      <c r="I304" s="13"/>
      <c r="J304" s="1"/>
    </row>
    <row r="305" spans="1:10" x14ac:dyDescent="0.25">
      <c r="A305" s="43">
        <v>289</v>
      </c>
      <c r="B305" s="132" t="s">
        <v>292</v>
      </c>
      <c r="C305" s="43">
        <v>2022</v>
      </c>
      <c r="D305" s="17">
        <v>3606277.84</v>
      </c>
      <c r="E305" s="17">
        <f t="shared" si="12"/>
        <v>3606277.84</v>
      </c>
      <c r="F305" s="17"/>
      <c r="G305" s="17"/>
      <c r="H305" s="26">
        <f t="shared" si="11"/>
        <v>3606277.84</v>
      </c>
      <c r="I305" s="13"/>
      <c r="J305" s="1"/>
    </row>
    <row r="306" spans="1:10" x14ac:dyDescent="0.25">
      <c r="A306" s="43">
        <v>290</v>
      </c>
      <c r="B306" s="132" t="s">
        <v>293</v>
      </c>
      <c r="C306" s="43">
        <v>2022</v>
      </c>
      <c r="D306" s="17">
        <v>3641695.36</v>
      </c>
      <c r="E306" s="17">
        <f t="shared" si="12"/>
        <v>3641695.36</v>
      </c>
      <c r="F306" s="17"/>
      <c r="G306" s="17"/>
      <c r="H306" s="26">
        <f t="shared" si="11"/>
        <v>3641695.36</v>
      </c>
      <c r="I306" s="13"/>
      <c r="J306" s="1"/>
    </row>
    <row r="307" spans="1:10" x14ac:dyDescent="0.25">
      <c r="A307" s="43">
        <v>291</v>
      </c>
      <c r="B307" s="132" t="s">
        <v>294</v>
      </c>
      <c r="C307" s="43">
        <v>2022</v>
      </c>
      <c r="D307" s="17">
        <v>3915358.57</v>
      </c>
      <c r="E307" s="17">
        <f t="shared" si="12"/>
        <v>3915358.57</v>
      </c>
      <c r="F307" s="17"/>
      <c r="G307" s="17"/>
      <c r="H307" s="26">
        <f t="shared" si="11"/>
        <v>3915358.57</v>
      </c>
      <c r="I307" s="13"/>
      <c r="J307" s="1"/>
    </row>
    <row r="308" spans="1:10" x14ac:dyDescent="0.25">
      <c r="A308" s="43">
        <v>292</v>
      </c>
      <c r="B308" s="132" t="s">
        <v>295</v>
      </c>
      <c r="C308" s="43">
        <v>2023</v>
      </c>
      <c r="D308" s="17">
        <v>3436345.41</v>
      </c>
      <c r="E308" s="17">
        <f t="shared" si="12"/>
        <v>3436345.41</v>
      </c>
      <c r="F308" s="17"/>
      <c r="G308" s="17"/>
      <c r="H308" s="26">
        <f t="shared" si="11"/>
        <v>3436345.41</v>
      </c>
      <c r="I308" s="13"/>
      <c r="J308" s="1"/>
    </row>
    <row r="309" spans="1:10" x14ac:dyDescent="0.25">
      <c r="A309" s="43">
        <v>293</v>
      </c>
      <c r="B309" s="132" t="s">
        <v>296</v>
      </c>
      <c r="C309" s="43">
        <v>2023</v>
      </c>
      <c r="D309" s="17">
        <v>3058669.75</v>
      </c>
      <c r="E309" s="17">
        <f t="shared" si="12"/>
        <v>3058669.75</v>
      </c>
      <c r="F309" s="17"/>
      <c r="G309" s="17"/>
      <c r="H309" s="26">
        <f t="shared" si="11"/>
        <v>3058669.75</v>
      </c>
      <c r="I309" s="13"/>
      <c r="J309" s="1"/>
    </row>
    <row r="310" spans="1:10" x14ac:dyDescent="0.25">
      <c r="A310" s="43">
        <v>294</v>
      </c>
      <c r="B310" s="132" t="s">
        <v>297</v>
      </c>
      <c r="C310" s="43">
        <v>2023</v>
      </c>
      <c r="D310" s="17">
        <v>3446933.53</v>
      </c>
      <c r="E310" s="17">
        <f t="shared" si="12"/>
        <v>3446933.53</v>
      </c>
      <c r="F310" s="17"/>
      <c r="G310" s="17"/>
      <c r="H310" s="26">
        <f t="shared" si="11"/>
        <v>3446933.53</v>
      </c>
      <c r="I310" s="13"/>
      <c r="J310" s="1"/>
    </row>
    <row r="311" spans="1:10" x14ac:dyDescent="0.25">
      <c r="A311" s="43">
        <v>295</v>
      </c>
      <c r="B311" s="132" t="s">
        <v>298</v>
      </c>
      <c r="C311" s="43">
        <v>2023</v>
      </c>
      <c r="D311" s="17">
        <v>3492639.17</v>
      </c>
      <c r="E311" s="17">
        <f t="shared" si="12"/>
        <v>3492639.17</v>
      </c>
      <c r="F311" s="17"/>
      <c r="G311" s="17"/>
      <c r="H311" s="26">
        <f t="shared" si="11"/>
        <v>3492639.17</v>
      </c>
      <c r="I311" s="13"/>
      <c r="J311" s="1"/>
    </row>
    <row r="312" spans="1:10" x14ac:dyDescent="0.25">
      <c r="A312" s="43">
        <v>296</v>
      </c>
      <c r="B312" s="132" t="s">
        <v>299</v>
      </c>
      <c r="C312" s="43">
        <v>2023</v>
      </c>
      <c r="D312" s="17">
        <v>3315340.77</v>
      </c>
      <c r="E312" s="17">
        <f t="shared" si="12"/>
        <v>3315340.77</v>
      </c>
      <c r="F312" s="17"/>
      <c r="G312" s="17"/>
      <c r="H312" s="26">
        <f t="shared" si="11"/>
        <v>3315340.77</v>
      </c>
      <c r="I312" s="13"/>
      <c r="J312" s="1"/>
    </row>
    <row r="313" spans="1:10" x14ac:dyDescent="0.25">
      <c r="A313" s="43">
        <v>297</v>
      </c>
      <c r="B313" s="132" t="s">
        <v>300</v>
      </c>
      <c r="C313" s="43">
        <v>2023</v>
      </c>
      <c r="D313" s="17">
        <v>3001071.14</v>
      </c>
      <c r="E313" s="17">
        <f t="shared" si="12"/>
        <v>3001071.14</v>
      </c>
      <c r="F313" s="17"/>
      <c r="G313" s="17"/>
      <c r="H313" s="26">
        <f t="shared" si="11"/>
        <v>3001071.14</v>
      </c>
      <c r="I313" s="13"/>
      <c r="J313" s="1"/>
    </row>
    <row r="314" spans="1:10" x14ac:dyDescent="0.25">
      <c r="A314" s="43">
        <v>298</v>
      </c>
      <c r="B314" s="132" t="s">
        <v>289</v>
      </c>
      <c r="C314" s="43">
        <v>2023</v>
      </c>
      <c r="D314" s="17">
        <v>3333363.14</v>
      </c>
      <c r="E314" s="17">
        <f t="shared" si="12"/>
        <v>3333363.14</v>
      </c>
      <c r="F314" s="17"/>
      <c r="G314" s="17"/>
      <c r="H314" s="26">
        <f t="shared" si="11"/>
        <v>3333363.14</v>
      </c>
      <c r="I314" s="13"/>
      <c r="J314" s="1"/>
    </row>
    <row r="315" spans="1:10" x14ac:dyDescent="0.25">
      <c r="A315" s="43">
        <v>299</v>
      </c>
      <c r="B315" s="132" t="s">
        <v>290</v>
      </c>
      <c r="C315" s="43">
        <v>2023</v>
      </c>
      <c r="D315" s="17">
        <v>3373028.59</v>
      </c>
      <c r="E315" s="17">
        <f t="shared" si="12"/>
        <v>3373028.59</v>
      </c>
      <c r="F315" s="17"/>
      <c r="G315" s="17"/>
      <c r="H315" s="26">
        <f t="shared" si="11"/>
        <v>3373028.59</v>
      </c>
      <c r="I315" s="13"/>
      <c r="J315" s="1"/>
    </row>
    <row r="316" spans="1:10" x14ac:dyDescent="0.25">
      <c r="A316" s="43">
        <v>300</v>
      </c>
      <c r="B316" s="132" t="s">
        <v>291</v>
      </c>
      <c r="C316" s="43">
        <v>2023</v>
      </c>
      <c r="D316" s="17">
        <v>3548261.41</v>
      </c>
      <c r="E316" s="17">
        <f t="shared" si="12"/>
        <v>3548261.41</v>
      </c>
      <c r="F316" s="17"/>
      <c r="G316" s="17"/>
      <c r="H316" s="26">
        <f t="shared" si="11"/>
        <v>3548261.41</v>
      </c>
      <c r="I316" s="13"/>
      <c r="J316" s="1"/>
    </row>
    <row r="317" spans="1:10" x14ac:dyDescent="0.25">
      <c r="A317" s="43">
        <v>301</v>
      </c>
      <c r="B317" s="132" t="s">
        <v>292</v>
      </c>
      <c r="C317" s="43">
        <v>2023</v>
      </c>
      <c r="D317" s="17">
        <v>3856681.82</v>
      </c>
      <c r="E317" s="17">
        <f t="shared" si="12"/>
        <v>3856681.82</v>
      </c>
      <c r="F317" s="17"/>
      <c r="G317" s="17"/>
      <c r="H317" s="26">
        <f t="shared" si="11"/>
        <v>3856681.82</v>
      </c>
      <c r="I317" s="13"/>
      <c r="J317" s="1"/>
    </row>
    <row r="318" spans="1:10" x14ac:dyDescent="0.25">
      <c r="A318" s="43">
        <v>302</v>
      </c>
      <c r="B318" s="132" t="s">
        <v>293</v>
      </c>
      <c r="C318" s="43">
        <v>2023</v>
      </c>
      <c r="D318" s="17">
        <v>3904957.9</v>
      </c>
      <c r="E318" s="17">
        <f t="shared" si="12"/>
        <v>3904957.9</v>
      </c>
      <c r="F318" s="17"/>
      <c r="G318" s="17"/>
      <c r="H318" s="26">
        <f t="shared" si="11"/>
        <v>3904957.9</v>
      </c>
      <c r="I318" s="13"/>
      <c r="J318" s="1"/>
    </row>
    <row r="319" spans="1:10" x14ac:dyDescent="0.25">
      <c r="A319" s="43">
        <v>303</v>
      </c>
      <c r="B319" s="132" t="s">
        <v>294</v>
      </c>
      <c r="C319" s="43">
        <v>2023</v>
      </c>
      <c r="D319" s="17">
        <v>3736921.3799999952</v>
      </c>
      <c r="E319" s="17">
        <f t="shared" si="12"/>
        <v>3736921.3799999952</v>
      </c>
      <c r="F319" s="17"/>
      <c r="G319" s="17"/>
      <c r="H319" s="26">
        <f t="shared" si="11"/>
        <v>3736921.3799999952</v>
      </c>
      <c r="I319" s="13"/>
      <c r="J319" s="1"/>
    </row>
    <row r="320" spans="1:10" x14ac:dyDescent="0.25">
      <c r="A320" s="43">
        <v>304</v>
      </c>
      <c r="B320" s="132" t="s">
        <v>295</v>
      </c>
      <c r="C320" s="43">
        <v>2024</v>
      </c>
      <c r="D320" s="17">
        <v>3354221.12</v>
      </c>
      <c r="E320" s="17">
        <f t="shared" si="12"/>
        <v>3354221.12</v>
      </c>
      <c r="F320" s="17"/>
      <c r="G320" s="17"/>
      <c r="H320" s="26">
        <f t="shared" si="11"/>
        <v>3354221.12</v>
      </c>
      <c r="I320" s="13"/>
      <c r="J320" s="1"/>
    </row>
    <row r="321" spans="1:10" x14ac:dyDescent="0.25">
      <c r="A321" s="43">
        <v>305</v>
      </c>
      <c r="B321" s="132" t="s">
        <v>296</v>
      </c>
      <c r="C321" s="43">
        <v>2024</v>
      </c>
      <c r="D321" s="17">
        <v>3572195.97</v>
      </c>
      <c r="E321" s="17">
        <f t="shared" si="12"/>
        <v>3572195.97</v>
      </c>
      <c r="F321" s="17"/>
      <c r="G321" s="17"/>
      <c r="H321" s="26">
        <f t="shared" si="11"/>
        <v>3572195.97</v>
      </c>
      <c r="I321" s="13"/>
      <c r="J321" s="1"/>
    </row>
    <row r="322" spans="1:10" x14ac:dyDescent="0.25">
      <c r="A322" s="43">
        <v>306</v>
      </c>
      <c r="B322" s="132" t="s">
        <v>297</v>
      </c>
      <c r="C322" s="43">
        <v>2024</v>
      </c>
      <c r="D322" s="17">
        <v>2208286.9900000002</v>
      </c>
      <c r="E322" s="17">
        <f t="shared" si="12"/>
        <v>2208286.9900000002</v>
      </c>
      <c r="F322" s="17"/>
      <c r="G322" s="17"/>
      <c r="H322" s="26">
        <f t="shared" si="11"/>
        <v>2208286.9900000002</v>
      </c>
      <c r="I322" s="13"/>
      <c r="J322" s="1"/>
    </row>
    <row r="323" spans="1:10" x14ac:dyDescent="0.25">
      <c r="A323" s="43">
        <v>307</v>
      </c>
      <c r="B323" s="132" t="s">
        <v>298</v>
      </c>
      <c r="C323" s="43">
        <v>2024</v>
      </c>
      <c r="D323" s="17">
        <v>3651948.92</v>
      </c>
      <c r="E323" s="17">
        <f t="shared" si="12"/>
        <v>3651948.92</v>
      </c>
      <c r="F323" s="17"/>
      <c r="G323" s="17"/>
      <c r="H323" s="26">
        <f t="shared" si="11"/>
        <v>3651948.92</v>
      </c>
      <c r="I323" s="13"/>
      <c r="J323" s="1"/>
    </row>
    <row r="324" spans="1:10" x14ac:dyDescent="0.25">
      <c r="A324" s="43">
        <v>308</v>
      </c>
      <c r="B324" s="132" t="s">
        <v>299</v>
      </c>
      <c r="C324" s="43">
        <v>2024</v>
      </c>
      <c r="D324" s="17">
        <v>3586584.28</v>
      </c>
      <c r="E324" s="17">
        <f t="shared" si="12"/>
        <v>3586584.28</v>
      </c>
      <c r="F324" s="17"/>
      <c r="G324" s="17"/>
      <c r="H324" s="26">
        <f t="shared" si="11"/>
        <v>3586584.28</v>
      </c>
      <c r="I324" s="13"/>
      <c r="J324" s="1"/>
    </row>
    <row r="325" spans="1:10" x14ac:dyDescent="0.25">
      <c r="A325" s="43">
        <v>309</v>
      </c>
      <c r="B325" s="132" t="s">
        <v>300</v>
      </c>
      <c r="C325" s="43">
        <v>2024</v>
      </c>
      <c r="D325" s="17">
        <v>3510873.66</v>
      </c>
      <c r="E325" s="17">
        <f t="shared" si="12"/>
        <v>3510873.66</v>
      </c>
      <c r="F325" s="17"/>
      <c r="G325" s="17"/>
      <c r="H325" s="26">
        <f t="shared" si="11"/>
        <v>3510873.66</v>
      </c>
      <c r="I325" s="13"/>
      <c r="J325" s="1"/>
    </row>
    <row r="326" spans="1:10" x14ac:dyDescent="0.25">
      <c r="A326" s="43">
        <v>310</v>
      </c>
      <c r="B326" s="132" t="s">
        <v>289</v>
      </c>
      <c r="C326" s="43">
        <v>2024</v>
      </c>
      <c r="D326" s="17">
        <v>3267263.26</v>
      </c>
      <c r="E326" s="17">
        <f t="shared" si="12"/>
        <v>3267263.26</v>
      </c>
      <c r="F326" s="17"/>
      <c r="G326" s="17"/>
      <c r="H326" s="26">
        <f t="shared" si="11"/>
        <v>3267263.26</v>
      </c>
      <c r="I326" s="13"/>
      <c r="J326" s="1"/>
    </row>
    <row r="327" spans="1:10" x14ac:dyDescent="0.25">
      <c r="A327" s="43">
        <v>311</v>
      </c>
      <c r="B327" s="132" t="s">
        <v>290</v>
      </c>
      <c r="C327" s="43">
        <v>2024</v>
      </c>
      <c r="D327" s="17">
        <v>3303934.14</v>
      </c>
      <c r="E327" s="17">
        <f t="shared" si="12"/>
        <v>3303934.14</v>
      </c>
      <c r="F327" s="17"/>
      <c r="G327" s="17"/>
      <c r="H327" s="26">
        <f t="shared" si="11"/>
        <v>3303934.14</v>
      </c>
      <c r="I327" s="13"/>
      <c r="J327" s="1"/>
    </row>
    <row r="328" spans="1:10" x14ac:dyDescent="0.25">
      <c r="A328" s="43">
        <v>312</v>
      </c>
      <c r="B328" s="132" t="s">
        <v>291</v>
      </c>
      <c r="C328" s="43">
        <v>2024</v>
      </c>
      <c r="D328" s="17">
        <v>3320808.36</v>
      </c>
      <c r="E328" s="17">
        <f t="shared" si="12"/>
        <v>3320808.36</v>
      </c>
      <c r="F328" s="17"/>
      <c r="G328" s="17"/>
      <c r="H328" s="26">
        <f t="shared" si="11"/>
        <v>3320808.36</v>
      </c>
      <c r="I328" s="13"/>
      <c r="J328" s="1"/>
    </row>
    <row r="329" spans="1:10" x14ac:dyDescent="0.25">
      <c r="A329" s="43">
        <v>313</v>
      </c>
      <c r="B329" s="132" t="s">
        <v>292</v>
      </c>
      <c r="C329" s="43">
        <v>2024</v>
      </c>
      <c r="D329" s="17">
        <v>3171623.4</v>
      </c>
      <c r="E329" s="17">
        <f t="shared" si="12"/>
        <v>3171623.4</v>
      </c>
      <c r="F329" s="17"/>
      <c r="G329" s="17"/>
      <c r="H329" s="26">
        <f t="shared" si="11"/>
        <v>3171623.4</v>
      </c>
      <c r="I329" s="13"/>
      <c r="J329" s="1"/>
    </row>
    <row r="330" spans="1:10" x14ac:dyDescent="0.25">
      <c r="A330" s="43">
        <v>314</v>
      </c>
      <c r="B330" s="132" t="s">
        <v>293</v>
      </c>
      <c r="C330" s="43">
        <v>2024</v>
      </c>
      <c r="D330" s="17">
        <v>3198072.3700000048</v>
      </c>
      <c r="E330" s="17">
        <f t="shared" si="12"/>
        <v>3198072.3700000048</v>
      </c>
      <c r="F330" s="17"/>
      <c r="G330" s="17"/>
      <c r="H330" s="26">
        <f t="shared" si="11"/>
        <v>3198072.3700000048</v>
      </c>
      <c r="I330" s="13"/>
      <c r="J330" s="1"/>
    </row>
    <row r="331" spans="1:10" x14ac:dyDescent="0.25">
      <c r="A331" s="43">
        <v>315</v>
      </c>
      <c r="B331" s="132" t="s">
        <v>294</v>
      </c>
      <c r="C331" s="43">
        <v>2024</v>
      </c>
      <c r="D331" s="17">
        <v>3255015.44</v>
      </c>
      <c r="E331" s="17">
        <f t="shared" si="12"/>
        <v>3255015.44</v>
      </c>
      <c r="F331" s="17"/>
      <c r="G331" s="17"/>
      <c r="H331" s="26">
        <f t="shared" si="11"/>
        <v>3255015.44</v>
      </c>
      <c r="I331" s="13"/>
      <c r="J331" s="1"/>
    </row>
    <row r="332" spans="1:10" x14ac:dyDescent="0.25">
      <c r="A332" s="43">
        <v>316</v>
      </c>
      <c r="B332" s="132" t="s">
        <v>295</v>
      </c>
      <c r="C332" s="43">
        <v>2025</v>
      </c>
      <c r="D332" s="17">
        <v>3376134.09</v>
      </c>
      <c r="E332" s="17">
        <f t="shared" si="12"/>
        <v>3376134.09</v>
      </c>
      <c r="F332" s="17"/>
      <c r="G332" s="17"/>
      <c r="H332" s="26">
        <f t="shared" si="11"/>
        <v>3376134.09</v>
      </c>
      <c r="I332" s="13"/>
      <c r="J332" s="1"/>
    </row>
    <row r="333" spans="1:10" x14ac:dyDescent="0.25">
      <c r="A333" s="43">
        <v>317</v>
      </c>
      <c r="B333" s="132" t="s">
        <v>296</v>
      </c>
      <c r="C333" s="43">
        <v>2025</v>
      </c>
      <c r="D333" s="17">
        <v>3290736.09</v>
      </c>
      <c r="E333" s="17">
        <f t="shared" si="12"/>
        <v>3290736.09</v>
      </c>
      <c r="F333" s="17"/>
      <c r="G333" s="17"/>
      <c r="H333" s="26">
        <f t="shared" si="11"/>
        <v>3290736.09</v>
      </c>
      <c r="I333" s="13"/>
      <c r="J333" s="1"/>
    </row>
    <row r="334" spans="1:10" x14ac:dyDescent="0.25">
      <c r="A334" s="43">
        <v>318</v>
      </c>
      <c r="B334" s="132" t="s">
        <v>297</v>
      </c>
      <c r="C334" s="43">
        <v>2025</v>
      </c>
      <c r="D334" s="17">
        <v>3428452.84</v>
      </c>
      <c r="E334" s="17">
        <f t="shared" si="12"/>
        <v>3428452.84</v>
      </c>
      <c r="F334" s="17"/>
      <c r="G334" s="17"/>
      <c r="H334" s="26">
        <f t="shared" si="11"/>
        <v>3428452.84</v>
      </c>
      <c r="I334" s="13"/>
      <c r="J334" s="1"/>
    </row>
    <row r="335" spans="1:10" x14ac:dyDescent="0.25">
      <c r="A335" s="43">
        <v>319</v>
      </c>
      <c r="B335" s="132" t="s">
        <v>298</v>
      </c>
      <c r="C335" s="43">
        <v>2025</v>
      </c>
      <c r="D335" s="17">
        <v>3446304.8699998856</v>
      </c>
      <c r="E335" s="17">
        <f t="shared" si="12"/>
        <v>3446304.8699998856</v>
      </c>
      <c r="F335" s="17">
        <v>3255015.44</v>
      </c>
      <c r="G335" s="17"/>
      <c r="H335" s="26">
        <f>D335-F335</f>
        <v>191289.42999988561</v>
      </c>
      <c r="I335" s="13"/>
      <c r="J335" s="1"/>
    </row>
    <row r="336" spans="1:10" x14ac:dyDescent="0.25">
      <c r="A336" s="43">
        <v>320</v>
      </c>
      <c r="B336" s="132" t="s">
        <v>299</v>
      </c>
      <c r="C336" s="43">
        <v>2025</v>
      </c>
      <c r="D336" s="17">
        <f>'FORM A'!H15</f>
        <v>3308834.9599999189</v>
      </c>
      <c r="E336" s="17"/>
      <c r="F336" s="17">
        <v>0</v>
      </c>
      <c r="G336" s="17"/>
      <c r="H336" s="26">
        <f>D336-F336</f>
        <v>3308834.9599999189</v>
      </c>
      <c r="I336" s="13"/>
      <c r="J336" s="1"/>
    </row>
    <row r="337" spans="1:10" x14ac:dyDescent="0.25">
      <c r="A337" s="43"/>
      <c r="B337" s="132"/>
      <c r="C337" s="43"/>
      <c r="D337" s="17"/>
      <c r="E337" s="17"/>
      <c r="F337" s="17"/>
      <c r="G337" s="17"/>
      <c r="H337" s="26"/>
      <c r="I337" s="13"/>
      <c r="J337" s="1"/>
    </row>
    <row r="338" spans="1:10" x14ac:dyDescent="0.25">
      <c r="A338" s="4"/>
      <c r="B338" s="4"/>
      <c r="C338" s="4"/>
      <c r="D338" s="19"/>
      <c r="E338" s="4"/>
      <c r="F338" s="4"/>
      <c r="G338" s="4"/>
      <c r="H338" s="4"/>
      <c r="I338" s="4"/>
    </row>
    <row r="339" spans="1:10" ht="13" x14ac:dyDescent="0.3">
      <c r="B339" s="52"/>
      <c r="C339" s="166"/>
      <c r="D339" s="163" t="s">
        <v>69</v>
      </c>
      <c r="E339" s="555">
        <f>SUM(E16:E338)</f>
        <v>622369360.37999988</v>
      </c>
      <c r="G339" s="164"/>
      <c r="H339" s="165"/>
    </row>
    <row r="342" spans="1:10" x14ac:dyDescent="0.25">
      <c r="H342" s="6"/>
    </row>
    <row r="343" spans="1:10" x14ac:dyDescent="0.25">
      <c r="H343" s="6"/>
    </row>
    <row r="344" spans="1:10" x14ac:dyDescent="0.25">
      <c r="D344" s="728">
        <v>432869341.23000002</v>
      </c>
      <c r="E344" s="729">
        <f>D344-E339</f>
        <v>-189500019.14999986</v>
      </c>
      <c r="H344" s="6"/>
    </row>
    <row r="345" spans="1:10" x14ac:dyDescent="0.25">
      <c r="E345" s="69"/>
      <c r="F345" s="69"/>
    </row>
    <row r="347" spans="1:10" x14ac:dyDescent="0.25">
      <c r="E347" s="6"/>
    </row>
    <row r="348" spans="1:10" x14ac:dyDescent="0.25">
      <c r="E348" s="6">
        <v>72051648</v>
      </c>
    </row>
    <row r="349" spans="1:10" x14ac:dyDescent="0.25">
      <c r="E349" s="6">
        <v>460377.20000000298</v>
      </c>
    </row>
    <row r="350" spans="1:10" x14ac:dyDescent="0.25">
      <c r="E350" s="6"/>
    </row>
    <row r="351" spans="1:10" x14ac:dyDescent="0.25">
      <c r="E351" s="6"/>
    </row>
    <row r="352" spans="1:10" x14ac:dyDescent="0.25">
      <c r="E352" s="6"/>
    </row>
    <row r="353" spans="5:5" x14ac:dyDescent="0.25">
      <c r="E353" s="6"/>
    </row>
    <row r="354" spans="5:5" x14ac:dyDescent="0.25">
      <c r="E354" s="6"/>
    </row>
    <row r="355" spans="5:5" x14ac:dyDescent="0.25">
      <c r="E355" s="6"/>
    </row>
    <row r="356" spans="5:5" x14ac:dyDescent="0.25">
      <c r="E356" s="6"/>
    </row>
  </sheetData>
  <mergeCells count="3">
    <mergeCell ref="A1:I1"/>
    <mergeCell ref="A16:D16"/>
    <mergeCell ref="F16:I16"/>
  </mergeCells>
  <phoneticPr fontId="5" type="noConversion"/>
  <pageMargins left="0.75" right="0.75" top="1" bottom="1" header="0.5" footer="0.5"/>
  <pageSetup paperSize="9" scale="61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O347"/>
  <sheetViews>
    <sheetView view="pageBreakPreview" topLeftCell="C325" zoomScale="125" zoomScaleNormal="125" zoomScaleSheetLayoutView="125" workbookViewId="0">
      <selection activeCell="F343" sqref="F343"/>
    </sheetView>
  </sheetViews>
  <sheetFormatPr defaultColWidth="8.81640625" defaultRowHeight="12.5" x14ac:dyDescent="0.25"/>
  <cols>
    <col min="1" max="1" width="10.1796875" customWidth="1"/>
    <col min="2" max="2" width="20" customWidth="1"/>
    <col min="3" max="3" width="11.453125" customWidth="1"/>
    <col min="4" max="4" width="17.54296875" customWidth="1"/>
    <col min="5" max="5" width="18.81640625" customWidth="1"/>
    <col min="6" max="6" width="19.26953125" customWidth="1"/>
    <col min="7" max="7" width="21.453125" customWidth="1"/>
    <col min="8" max="8" width="11.1796875" customWidth="1"/>
    <col min="9" max="9" width="16.7265625" customWidth="1"/>
    <col min="10" max="10" width="12.08984375" customWidth="1"/>
    <col min="11" max="11" width="12.6328125" customWidth="1"/>
  </cols>
  <sheetData>
    <row r="1" spans="1:9" ht="13" x14ac:dyDescent="0.3">
      <c r="A1" s="871" t="s">
        <v>21</v>
      </c>
      <c r="B1" s="871"/>
      <c r="C1" s="871"/>
      <c r="D1" s="871"/>
      <c r="E1" s="871"/>
      <c r="F1" s="871"/>
      <c r="G1" s="871"/>
    </row>
    <row r="3" spans="1:9" ht="13" x14ac:dyDescent="0.3">
      <c r="A3" s="50" t="s">
        <v>0</v>
      </c>
      <c r="B3" s="50"/>
      <c r="C3" s="455" t="str">
        <f>'FORM A'!C3</f>
        <v>PROVISION OF PUBLIC PASSENGER TRANSPORT MKUZE AND SURROUNDING</v>
      </c>
      <c r="D3" s="50"/>
      <c r="E3" s="50"/>
      <c r="F3" s="52"/>
      <c r="G3" s="53"/>
      <c r="H3" s="6"/>
    </row>
    <row r="4" spans="1:9" ht="13" x14ac:dyDescent="0.3">
      <c r="A4" s="50"/>
      <c r="B4" s="50"/>
      <c r="C4" s="50"/>
      <c r="D4" s="50"/>
      <c r="E4" s="50"/>
      <c r="F4" s="52"/>
      <c r="G4" s="41"/>
      <c r="H4" s="6"/>
    </row>
    <row r="5" spans="1:9" ht="13" x14ac:dyDescent="0.3">
      <c r="A5" s="50" t="str">
        <f>'FORM A'!A6</f>
        <v>CONTRACT : ZNT 1129</v>
      </c>
      <c r="B5" s="8"/>
      <c r="C5" s="8"/>
      <c r="D5" s="8"/>
      <c r="E5" s="50" t="s">
        <v>2</v>
      </c>
      <c r="F5" s="438" t="str">
        <f>'FORM A'!F6</f>
        <v>Ripple Effect 40 (Pty) Ltd</v>
      </c>
      <c r="G5" s="8"/>
      <c r="H5" s="6"/>
    </row>
    <row r="6" spans="1:9" ht="13" x14ac:dyDescent="0.3">
      <c r="A6" s="50"/>
      <c r="B6" s="8"/>
      <c r="C6" s="21"/>
      <c r="D6" s="8"/>
      <c r="E6" s="126"/>
      <c r="F6" s="8"/>
      <c r="G6" s="8"/>
      <c r="H6" s="6"/>
    </row>
    <row r="7" spans="1:9" ht="13" x14ac:dyDescent="0.3">
      <c r="A7" s="50" t="s">
        <v>247</v>
      </c>
      <c r="B7" s="8"/>
      <c r="C7" s="9">
        <f>'FORM A'!C8</f>
        <v>320</v>
      </c>
      <c r="D7" s="8"/>
      <c r="E7" s="50" t="s">
        <v>4</v>
      </c>
      <c r="F7" s="99">
        <f>'FORM A'!F8</f>
        <v>45778</v>
      </c>
      <c r="G7" s="8"/>
      <c r="H7" s="6"/>
    </row>
    <row r="8" spans="1:9" x14ac:dyDescent="0.25">
      <c r="A8" s="6"/>
      <c r="B8" s="6"/>
      <c r="C8" s="6"/>
      <c r="D8" s="6"/>
      <c r="E8" s="6"/>
      <c r="F8" s="6"/>
      <c r="G8" s="6"/>
      <c r="H8" s="6"/>
    </row>
    <row r="9" spans="1:9" ht="13" x14ac:dyDescent="0.3">
      <c r="A9" s="50" t="s">
        <v>77</v>
      </c>
      <c r="B9" s="6"/>
      <c r="C9" s="6"/>
      <c r="D9" s="6"/>
      <c r="E9" s="6"/>
      <c r="F9" s="6"/>
      <c r="G9" s="6"/>
      <c r="H9" s="6"/>
    </row>
    <row r="10" spans="1:9" x14ac:dyDescent="0.25">
      <c r="A10" s="6"/>
      <c r="B10" s="6"/>
      <c r="C10" s="6"/>
      <c r="D10" s="6"/>
      <c r="E10" s="6"/>
      <c r="F10" s="6"/>
      <c r="G10" s="6"/>
      <c r="H10" s="6"/>
    </row>
    <row r="11" spans="1:9" x14ac:dyDescent="0.25">
      <c r="A11" s="91"/>
      <c r="B11" s="91"/>
      <c r="C11" s="91"/>
      <c r="D11" s="91"/>
      <c r="E11" s="91"/>
      <c r="F11" s="91"/>
      <c r="G11" s="91"/>
      <c r="H11" s="6"/>
    </row>
    <row r="12" spans="1:9" x14ac:dyDescent="0.25">
      <c r="A12" s="137" t="s">
        <v>74</v>
      </c>
      <c r="B12" s="137" t="s">
        <v>15</v>
      </c>
      <c r="C12" s="137" t="s">
        <v>16</v>
      </c>
      <c r="D12" s="137" t="s">
        <v>22</v>
      </c>
      <c r="E12" s="137" t="s">
        <v>24</v>
      </c>
      <c r="F12" s="137" t="s">
        <v>23</v>
      </c>
      <c r="G12" s="137" t="s">
        <v>18</v>
      </c>
      <c r="H12" s="6"/>
    </row>
    <row r="13" spans="1:9" x14ac:dyDescent="0.25">
      <c r="A13" s="137" t="s">
        <v>75</v>
      </c>
      <c r="B13" s="137"/>
      <c r="C13" s="137"/>
      <c r="D13" s="137" t="s">
        <v>24</v>
      </c>
      <c r="E13" s="137" t="s">
        <v>76</v>
      </c>
      <c r="F13" s="137" t="s">
        <v>25</v>
      </c>
      <c r="G13" s="137" t="s">
        <v>26</v>
      </c>
      <c r="H13" s="6"/>
    </row>
    <row r="14" spans="1:9" x14ac:dyDescent="0.25">
      <c r="A14" s="137"/>
      <c r="B14" s="137"/>
      <c r="C14" s="137"/>
      <c r="D14" s="137" t="s">
        <v>91</v>
      </c>
      <c r="E14" s="137" t="s">
        <v>156</v>
      </c>
      <c r="F14" s="137" t="s">
        <v>92</v>
      </c>
      <c r="G14" s="137"/>
      <c r="H14" s="6"/>
    </row>
    <row r="15" spans="1:9" x14ac:dyDescent="0.25">
      <c r="A15" s="31">
        <v>1</v>
      </c>
      <c r="B15" s="31">
        <v>2</v>
      </c>
      <c r="C15" s="31">
        <v>3</v>
      </c>
      <c r="D15" s="31">
        <v>4</v>
      </c>
      <c r="E15" s="31">
        <v>5</v>
      </c>
      <c r="F15" s="31">
        <v>6</v>
      </c>
      <c r="G15" s="31">
        <v>7</v>
      </c>
      <c r="H15" s="6"/>
    </row>
    <row r="16" spans="1:9" x14ac:dyDescent="0.25">
      <c r="A16" s="135">
        <v>1</v>
      </c>
      <c r="B16" s="137" t="s">
        <v>293</v>
      </c>
      <c r="C16" s="447">
        <v>1998</v>
      </c>
      <c r="D16" s="448">
        <v>653079.70000000007</v>
      </c>
      <c r="E16" s="449">
        <f>'FORM D'!G22</f>
        <v>1.0250429995463988</v>
      </c>
      <c r="F16" s="448">
        <f t="shared" ref="F16:F97" si="0">ROUND(D16*E16,2)</f>
        <v>669434.77</v>
      </c>
      <c r="G16" s="448">
        <f>SUM($F$16:F16)</f>
        <v>669434.77</v>
      </c>
      <c r="H16" s="106"/>
      <c r="I16" s="337"/>
    </row>
    <row r="17" spans="1:9" x14ac:dyDescent="0.25">
      <c r="A17" s="135">
        <f t="shared" ref="A17:A98" si="1">A16+1</f>
        <v>2</v>
      </c>
      <c r="B17" s="137" t="s">
        <v>294</v>
      </c>
      <c r="C17" s="447">
        <v>1998</v>
      </c>
      <c r="D17" s="448">
        <v>543881.18000000005</v>
      </c>
      <c r="E17" s="449">
        <f>'FORM D'!G23</f>
        <v>1.0182929533997012</v>
      </c>
      <c r="F17" s="448">
        <f t="shared" si="0"/>
        <v>553830.37</v>
      </c>
      <c r="G17" s="448">
        <f>SUM($F$16:F17)</f>
        <v>1223265.1400000001</v>
      </c>
      <c r="H17" s="106"/>
      <c r="I17" s="337"/>
    </row>
    <row r="18" spans="1:9" x14ac:dyDescent="0.25">
      <c r="A18" s="135">
        <f t="shared" si="1"/>
        <v>3</v>
      </c>
      <c r="B18" s="137" t="s">
        <v>295</v>
      </c>
      <c r="C18" s="447">
        <v>1999</v>
      </c>
      <c r="D18" s="448">
        <v>626903.73</v>
      </c>
      <c r="E18" s="449">
        <f>'FORM D'!G24</f>
        <v>1.0186755153475358</v>
      </c>
      <c r="F18" s="448">
        <f t="shared" si="0"/>
        <v>638611.48</v>
      </c>
      <c r="G18" s="448">
        <f>SUM($F$16:F18)</f>
        <v>1861876.62</v>
      </c>
      <c r="H18" s="106"/>
      <c r="I18" s="337"/>
    </row>
    <row r="19" spans="1:9" x14ac:dyDescent="0.25">
      <c r="A19" s="135">
        <f t="shared" si="1"/>
        <v>4</v>
      </c>
      <c r="B19" s="137" t="s">
        <v>296</v>
      </c>
      <c r="C19" s="447">
        <v>1999</v>
      </c>
      <c r="D19" s="448">
        <v>600141.48</v>
      </c>
      <c r="E19" s="449">
        <f>'FORM D'!G25</f>
        <v>1.0301077744455605</v>
      </c>
      <c r="F19" s="448">
        <f t="shared" si="0"/>
        <v>618210.4</v>
      </c>
      <c r="G19" s="448">
        <f>SUM($F$16:F19)</f>
        <v>2480087.02</v>
      </c>
      <c r="H19" s="106"/>
      <c r="I19" s="337"/>
    </row>
    <row r="20" spans="1:9" x14ac:dyDescent="0.25">
      <c r="A20" s="135">
        <f t="shared" si="1"/>
        <v>5</v>
      </c>
      <c r="B20" s="137" t="s">
        <v>297</v>
      </c>
      <c r="C20" s="447">
        <v>1999</v>
      </c>
      <c r="D20" s="448">
        <v>575610.42000000004</v>
      </c>
      <c r="E20" s="449">
        <f>'FORM D'!G26</f>
        <v>1.0293972432722238</v>
      </c>
      <c r="F20" s="448">
        <f t="shared" si="0"/>
        <v>592531.78</v>
      </c>
      <c r="G20" s="448">
        <f>SUM($F$16:F20)</f>
        <v>3072618.8</v>
      </c>
      <c r="H20" s="106"/>
      <c r="I20" s="337"/>
    </row>
    <row r="21" spans="1:9" x14ac:dyDescent="0.25">
      <c r="A21" s="135">
        <f t="shared" si="1"/>
        <v>6</v>
      </c>
      <c r="B21" s="137" t="s">
        <v>298</v>
      </c>
      <c r="C21" s="447">
        <v>1999</v>
      </c>
      <c r="D21" s="448">
        <v>399087.15</v>
      </c>
      <c r="E21" s="449">
        <f>'FORM D'!G27</f>
        <v>1.0480167031871135</v>
      </c>
      <c r="F21" s="448">
        <f t="shared" si="0"/>
        <v>418250</v>
      </c>
      <c r="G21" s="448">
        <f>SUM($F$16:F21)</f>
        <v>3490868.8</v>
      </c>
      <c r="H21" s="106"/>
      <c r="I21" s="337"/>
    </row>
    <row r="22" spans="1:9" x14ac:dyDescent="0.25">
      <c r="A22" s="135">
        <f t="shared" si="1"/>
        <v>7</v>
      </c>
      <c r="B22" s="137" t="s">
        <v>299</v>
      </c>
      <c r="C22" s="447">
        <v>1999</v>
      </c>
      <c r="D22" s="448">
        <v>594897.07000000007</v>
      </c>
      <c r="E22" s="449">
        <f>'FORM D'!G28</f>
        <v>1.0626463525651531</v>
      </c>
      <c r="F22" s="448">
        <f t="shared" si="0"/>
        <v>632165.19999999995</v>
      </c>
      <c r="G22" s="448">
        <f>SUM($F$16:F22)</f>
        <v>4123034</v>
      </c>
      <c r="H22" s="106"/>
      <c r="I22" s="337"/>
    </row>
    <row r="23" spans="1:9" x14ac:dyDescent="0.25">
      <c r="A23" s="135">
        <f t="shared" si="1"/>
        <v>8</v>
      </c>
      <c r="B23" s="137" t="s">
        <v>300</v>
      </c>
      <c r="C23" s="447">
        <v>1999</v>
      </c>
      <c r="D23" s="448">
        <v>655391</v>
      </c>
      <c r="E23" s="449">
        <f>'FORM D'!G29</f>
        <v>1.069751664298519</v>
      </c>
      <c r="F23" s="448">
        <f t="shared" si="0"/>
        <v>701105.61</v>
      </c>
      <c r="G23" s="448">
        <f>SUM($F$16:F23)</f>
        <v>4824139.6100000003</v>
      </c>
      <c r="H23" s="106"/>
      <c r="I23" s="337"/>
    </row>
    <row r="24" spans="1:9" x14ac:dyDescent="0.25">
      <c r="A24" s="135">
        <f t="shared" si="1"/>
        <v>9</v>
      </c>
      <c r="B24" s="137" t="s">
        <v>289</v>
      </c>
      <c r="C24" s="447">
        <v>1999</v>
      </c>
      <c r="D24" s="448">
        <v>664456.02</v>
      </c>
      <c r="E24" s="449">
        <f>'FORM D'!G30</f>
        <v>1.0933767731661037</v>
      </c>
      <c r="F24" s="448">
        <f t="shared" si="0"/>
        <v>726500.78</v>
      </c>
      <c r="G24" s="448">
        <f>SUM($F$16:F24)</f>
        <v>5550640.3900000006</v>
      </c>
      <c r="H24" s="106"/>
      <c r="I24" s="337"/>
    </row>
    <row r="25" spans="1:9" x14ac:dyDescent="0.25">
      <c r="A25" s="135">
        <f t="shared" si="1"/>
        <v>10</v>
      </c>
      <c r="B25" s="137" t="s">
        <v>290</v>
      </c>
      <c r="C25" s="447">
        <v>1999</v>
      </c>
      <c r="D25" s="448">
        <v>632628.93000000005</v>
      </c>
      <c r="E25" s="449">
        <f>'FORM D'!G31</f>
        <v>1.109746286514012</v>
      </c>
      <c r="F25" s="448">
        <f t="shared" si="0"/>
        <v>702057.61</v>
      </c>
      <c r="G25" s="448">
        <f>SUM($F$16:F25)</f>
        <v>6252698.0000000009</v>
      </c>
      <c r="H25" s="106"/>
      <c r="I25" s="337"/>
    </row>
    <row r="26" spans="1:9" x14ac:dyDescent="0.25">
      <c r="A26" s="135">
        <f t="shared" si="1"/>
        <v>11</v>
      </c>
      <c r="B26" s="137" t="s">
        <v>291</v>
      </c>
      <c r="C26" s="447">
        <v>1999</v>
      </c>
      <c r="D26" s="448">
        <v>633492.4</v>
      </c>
      <c r="E26" s="449">
        <f>'FORM D'!G32</f>
        <v>1.1236016443940757</v>
      </c>
      <c r="F26" s="448">
        <f t="shared" si="0"/>
        <v>711793.1</v>
      </c>
      <c r="G26" s="448">
        <f>SUM($F$16:F26)</f>
        <v>6964491.1000000006</v>
      </c>
      <c r="H26" s="106"/>
      <c r="I26" s="337"/>
    </row>
    <row r="27" spans="1:9" x14ac:dyDescent="0.25">
      <c r="A27" s="135">
        <f t="shared" si="1"/>
        <v>12</v>
      </c>
      <c r="B27" s="137" t="s">
        <v>292</v>
      </c>
      <c r="C27" s="447">
        <v>1999</v>
      </c>
      <c r="D27" s="448">
        <v>664346.15</v>
      </c>
      <c r="E27" s="449">
        <f>'FORM D'!G33</f>
        <v>1.1356806743407981</v>
      </c>
      <c r="F27" s="448">
        <f t="shared" si="0"/>
        <v>754485.08</v>
      </c>
      <c r="G27" s="448">
        <f>SUM($F$16:F27)</f>
        <v>7718976.1800000006</v>
      </c>
      <c r="H27" s="106"/>
      <c r="I27" s="337"/>
    </row>
    <row r="28" spans="1:9" x14ac:dyDescent="0.25">
      <c r="A28" s="135">
        <f t="shared" si="1"/>
        <v>13</v>
      </c>
      <c r="B28" s="137" t="s">
        <v>293</v>
      </c>
      <c r="C28" s="447">
        <v>1999</v>
      </c>
      <c r="D28" s="448">
        <v>676326.70000000007</v>
      </c>
      <c r="E28" s="449">
        <f>'FORM D'!G34</f>
        <v>1.1445623140075054</v>
      </c>
      <c r="F28" s="448">
        <f t="shared" si="0"/>
        <v>774098.05</v>
      </c>
      <c r="G28" s="448">
        <f>SUM($F$16:F28)</f>
        <v>8493074.2300000004</v>
      </c>
      <c r="H28" s="106"/>
      <c r="I28" s="337"/>
    </row>
    <row r="29" spans="1:9" x14ac:dyDescent="0.25">
      <c r="A29" s="135">
        <f t="shared" si="1"/>
        <v>14</v>
      </c>
      <c r="B29" s="137" t="s">
        <v>294</v>
      </c>
      <c r="C29" s="447">
        <v>1999</v>
      </c>
      <c r="D29" s="448">
        <v>684570.91</v>
      </c>
      <c r="E29" s="449">
        <f>'FORM D'!G35</f>
        <v>1.1530886880875446</v>
      </c>
      <c r="F29" s="448">
        <f t="shared" si="0"/>
        <v>789370.97</v>
      </c>
      <c r="G29" s="448">
        <f>SUM($F$16:F29)</f>
        <v>9282445.2000000011</v>
      </c>
      <c r="H29" s="106"/>
      <c r="I29" s="337"/>
    </row>
    <row r="30" spans="1:9" x14ac:dyDescent="0.25">
      <c r="A30" s="135">
        <f t="shared" si="1"/>
        <v>15</v>
      </c>
      <c r="B30" s="137" t="s">
        <v>295</v>
      </c>
      <c r="C30" s="447">
        <v>2000</v>
      </c>
      <c r="D30" s="448">
        <v>658842.63</v>
      </c>
      <c r="E30" s="449">
        <f>'FORM D'!G36</f>
        <v>1.1612597965809157</v>
      </c>
      <c r="F30" s="448">
        <f t="shared" si="0"/>
        <v>765087.46</v>
      </c>
      <c r="G30" s="448">
        <f>SUM($F$16:F30)</f>
        <v>10047532.66</v>
      </c>
      <c r="H30" s="106"/>
      <c r="I30" s="337"/>
    </row>
    <row r="31" spans="1:9" x14ac:dyDescent="0.25">
      <c r="A31" s="135">
        <f t="shared" si="1"/>
        <v>16</v>
      </c>
      <c r="B31" s="137" t="s">
        <v>296</v>
      </c>
      <c r="C31" s="447">
        <v>2000</v>
      </c>
      <c r="D31" s="448">
        <v>609179.56000000006</v>
      </c>
      <c r="E31" s="449">
        <f>'FORM D'!G37</f>
        <v>1.2015412896802653</v>
      </c>
      <c r="F31" s="448">
        <f t="shared" si="0"/>
        <v>731954.39</v>
      </c>
      <c r="G31" s="448">
        <f>SUM($F$16:F31)</f>
        <v>10779487.050000001</v>
      </c>
      <c r="H31" s="106"/>
      <c r="I31" s="337"/>
    </row>
    <row r="32" spans="1:9" x14ac:dyDescent="0.25">
      <c r="A32" s="135">
        <f t="shared" si="1"/>
        <v>17</v>
      </c>
      <c r="B32" s="137" t="s">
        <v>297</v>
      </c>
      <c r="C32" s="447">
        <v>2000</v>
      </c>
      <c r="D32" s="448">
        <v>657424.5</v>
      </c>
      <c r="E32" s="449">
        <f>'FORM D'!G38</f>
        <v>1.2317388645470708</v>
      </c>
      <c r="F32" s="448">
        <f t="shared" si="0"/>
        <v>809775.31</v>
      </c>
      <c r="G32" s="448">
        <f>SUM($F$16:F32)</f>
        <v>11589262.360000001</v>
      </c>
      <c r="H32" s="106"/>
      <c r="I32" s="337"/>
    </row>
    <row r="33" spans="1:9" x14ac:dyDescent="0.25">
      <c r="A33" s="135">
        <f t="shared" si="1"/>
        <v>18</v>
      </c>
      <c r="B33" s="137" t="s">
        <v>298</v>
      </c>
      <c r="C33" s="447">
        <v>2000</v>
      </c>
      <c r="D33" s="448">
        <v>623123.69000000006</v>
      </c>
      <c r="E33" s="449">
        <f>'FORM D'!G39</f>
        <v>1.2472163673345631</v>
      </c>
      <c r="F33" s="448">
        <f t="shared" si="0"/>
        <v>777170.07</v>
      </c>
      <c r="G33" s="448">
        <f>SUM($F$16:F33)</f>
        <v>12366432.430000002</v>
      </c>
      <c r="H33" s="106"/>
      <c r="I33" s="337"/>
    </row>
    <row r="34" spans="1:9" x14ac:dyDescent="0.25">
      <c r="A34" s="135">
        <f t="shared" si="1"/>
        <v>19</v>
      </c>
      <c r="B34" s="137" t="s">
        <v>299</v>
      </c>
      <c r="C34" s="447">
        <v>2000</v>
      </c>
      <c r="D34" s="448">
        <v>539085.62</v>
      </c>
      <c r="E34" s="449">
        <f>'FORM D'!G40</f>
        <v>1.2507233916354665</v>
      </c>
      <c r="F34" s="448">
        <f t="shared" si="0"/>
        <v>674247</v>
      </c>
      <c r="G34" s="448">
        <f>SUM($F$16:F34)</f>
        <v>13040679.430000002</v>
      </c>
      <c r="H34" s="106"/>
      <c r="I34" s="337"/>
    </row>
    <row r="35" spans="1:9" x14ac:dyDescent="0.25">
      <c r="A35" s="135">
        <f t="shared" si="1"/>
        <v>20</v>
      </c>
      <c r="B35" s="137" t="s">
        <v>300</v>
      </c>
      <c r="C35" s="447">
        <v>2000</v>
      </c>
      <c r="D35" s="448">
        <v>618306.70000000007</v>
      </c>
      <c r="E35" s="449">
        <f>'FORM D'!G41</f>
        <v>1.2560523754354911</v>
      </c>
      <c r="F35" s="448">
        <f t="shared" si="0"/>
        <v>776625.6</v>
      </c>
      <c r="G35" s="448">
        <f>SUM($F$16:F35)</f>
        <v>13817305.030000001</v>
      </c>
      <c r="H35" s="106"/>
      <c r="I35" s="337"/>
    </row>
    <row r="36" spans="1:9" x14ac:dyDescent="0.25">
      <c r="A36" s="135">
        <f t="shared" si="1"/>
        <v>21</v>
      </c>
      <c r="B36" s="137" t="s">
        <v>289</v>
      </c>
      <c r="C36" s="447">
        <v>2000</v>
      </c>
      <c r="D36" s="448">
        <v>607168.63</v>
      </c>
      <c r="E36" s="449">
        <f>'FORM D'!G42</f>
        <v>1.2778656293000432</v>
      </c>
      <c r="F36" s="448">
        <f t="shared" si="0"/>
        <v>775879.92</v>
      </c>
      <c r="G36" s="448">
        <f>SUM($F$16:F36)</f>
        <v>14593184.950000001</v>
      </c>
      <c r="H36" s="106"/>
      <c r="I36" s="337"/>
    </row>
    <row r="37" spans="1:9" x14ac:dyDescent="0.25">
      <c r="A37" s="135">
        <f t="shared" si="1"/>
        <v>22</v>
      </c>
      <c r="B37" s="137" t="s">
        <v>290</v>
      </c>
      <c r="C37" s="447">
        <v>2000</v>
      </c>
      <c r="D37" s="448">
        <v>618904.75</v>
      </c>
      <c r="E37" s="449">
        <f>'FORM D'!G43</f>
        <v>1.3164801863564695</v>
      </c>
      <c r="F37" s="448">
        <f t="shared" si="0"/>
        <v>814775.84</v>
      </c>
      <c r="G37" s="448">
        <f>SUM($F$16:F37)</f>
        <v>15407960.790000001</v>
      </c>
      <c r="H37" s="106"/>
      <c r="I37" s="337"/>
    </row>
    <row r="38" spans="1:9" x14ac:dyDescent="0.25">
      <c r="A38" s="135">
        <f t="shared" si="1"/>
        <v>23</v>
      </c>
      <c r="B38" s="137" t="s">
        <v>291</v>
      </c>
      <c r="C38" s="447">
        <v>2000</v>
      </c>
      <c r="D38" s="448">
        <v>627266.26</v>
      </c>
      <c r="E38" s="449">
        <f>'FORM D'!G44</f>
        <v>1.3498751515032901</v>
      </c>
      <c r="F38" s="448">
        <f t="shared" si="0"/>
        <v>846731.14</v>
      </c>
      <c r="G38" s="448">
        <f>SUM($F$16:F38)</f>
        <v>16254691.930000002</v>
      </c>
      <c r="H38" s="106"/>
      <c r="I38" s="337"/>
    </row>
    <row r="39" spans="1:9" x14ac:dyDescent="0.25">
      <c r="A39" s="135">
        <f t="shared" si="1"/>
        <v>24</v>
      </c>
      <c r="B39" s="137" t="s">
        <v>292</v>
      </c>
      <c r="C39" s="447">
        <v>2000</v>
      </c>
      <c r="D39" s="448">
        <v>647041.94000000006</v>
      </c>
      <c r="E39" s="449">
        <f>'FORM D'!G45</f>
        <v>1.3893096316234712</v>
      </c>
      <c r="F39" s="448">
        <f t="shared" si="0"/>
        <v>898941.6</v>
      </c>
      <c r="G39" s="448">
        <f>SUM($F$16:F39)</f>
        <v>17153633.530000001</v>
      </c>
      <c r="H39" s="106"/>
      <c r="I39" s="337"/>
    </row>
    <row r="40" spans="1:9" x14ac:dyDescent="0.25">
      <c r="A40" s="135">
        <f t="shared" si="1"/>
        <v>25</v>
      </c>
      <c r="B40" s="137" t="s">
        <v>293</v>
      </c>
      <c r="C40" s="447">
        <v>2000</v>
      </c>
      <c r="D40" s="448">
        <v>627266.26</v>
      </c>
      <c r="E40" s="449">
        <f>'FORM D'!G46</f>
        <v>1.4222126429320388</v>
      </c>
      <c r="F40" s="448">
        <f t="shared" si="0"/>
        <v>892106.01</v>
      </c>
      <c r="G40" s="448">
        <f>SUM($F$16:F40)</f>
        <v>18045739.540000003</v>
      </c>
      <c r="H40" s="106"/>
      <c r="I40" s="337"/>
    </row>
    <row r="41" spans="1:9" x14ac:dyDescent="0.25">
      <c r="A41" s="135">
        <f t="shared" si="1"/>
        <v>26</v>
      </c>
      <c r="B41" s="137" t="s">
        <v>294</v>
      </c>
      <c r="C41" s="447">
        <v>2000</v>
      </c>
      <c r="D41" s="448">
        <v>500138.1100000001</v>
      </c>
      <c r="E41" s="449">
        <f>'FORM D'!G47</f>
        <v>1.4023177700786138</v>
      </c>
      <c r="F41" s="448">
        <f t="shared" si="0"/>
        <v>701352.56</v>
      </c>
      <c r="G41" s="448">
        <f>SUM($F$16:F41)</f>
        <v>18747092.100000001</v>
      </c>
      <c r="H41" s="106"/>
      <c r="I41" s="337"/>
    </row>
    <row r="42" spans="1:9" x14ac:dyDescent="0.25">
      <c r="A42" s="135">
        <f t="shared" si="1"/>
        <v>27</v>
      </c>
      <c r="B42" s="137" t="s">
        <v>295</v>
      </c>
      <c r="C42" s="447">
        <v>2001</v>
      </c>
      <c r="D42" s="448">
        <v>342121.41000000003</v>
      </c>
      <c r="E42" s="449">
        <f>'FORM D'!G48</f>
        <v>1.3802913037051789</v>
      </c>
      <c r="F42" s="448">
        <f t="shared" si="0"/>
        <v>472227.21</v>
      </c>
      <c r="G42" s="448">
        <f>SUM($F$16:F42)</f>
        <v>19219319.310000002</v>
      </c>
      <c r="H42" s="106"/>
      <c r="I42" s="337"/>
    </row>
    <row r="43" spans="1:9" x14ac:dyDescent="0.25">
      <c r="A43" s="135">
        <f t="shared" si="1"/>
        <v>28</v>
      </c>
      <c r="B43" s="137" t="s">
        <v>296</v>
      </c>
      <c r="C43" s="447">
        <v>2001</v>
      </c>
      <c r="D43" s="448">
        <v>275527.79000000004</v>
      </c>
      <c r="E43" s="449">
        <f>'FORM D'!G49</f>
        <v>1.3783418235567801</v>
      </c>
      <c r="F43" s="448">
        <f t="shared" si="0"/>
        <v>379771.48</v>
      </c>
      <c r="G43" s="448">
        <f>SUM($F$16:F43)</f>
        <v>19599090.790000003</v>
      </c>
      <c r="H43" s="106"/>
      <c r="I43" s="337"/>
    </row>
    <row r="44" spans="1:9" x14ac:dyDescent="0.25">
      <c r="A44" s="135">
        <f t="shared" si="1"/>
        <v>29</v>
      </c>
      <c r="B44" s="137" t="s">
        <v>297</v>
      </c>
      <c r="C44" s="447">
        <v>2001</v>
      </c>
      <c r="D44" s="448">
        <v>349595.35000000003</v>
      </c>
      <c r="E44" s="449">
        <f>'FORM D'!G50</f>
        <v>1.3701707150634093</v>
      </c>
      <c r="F44" s="448">
        <f t="shared" si="0"/>
        <v>479005.31</v>
      </c>
      <c r="G44" s="448">
        <f>SUM($F$16:F44)</f>
        <v>20078096.100000001</v>
      </c>
      <c r="H44" s="106"/>
      <c r="I44" s="337"/>
    </row>
    <row r="45" spans="1:9" x14ac:dyDescent="0.25">
      <c r="A45" s="135">
        <f t="shared" si="1"/>
        <v>30</v>
      </c>
      <c r="B45" s="137" t="s">
        <v>298</v>
      </c>
      <c r="C45" s="447">
        <v>2001</v>
      </c>
      <c r="D45" s="448">
        <v>556678.94000000006</v>
      </c>
      <c r="E45" s="449">
        <f>'FORM D'!G51</f>
        <v>1.3724961071441748</v>
      </c>
      <c r="F45" s="448">
        <f t="shared" si="0"/>
        <v>764039.68000000005</v>
      </c>
      <c r="G45" s="448">
        <f>SUM($F$16:F45)</f>
        <v>20842135.780000001</v>
      </c>
      <c r="H45" s="106"/>
      <c r="I45" s="337"/>
    </row>
    <row r="46" spans="1:9" x14ac:dyDescent="0.25">
      <c r="A46" s="135">
        <f t="shared" si="1"/>
        <v>31</v>
      </c>
      <c r="B46" s="137" t="s">
        <v>299</v>
      </c>
      <c r="C46" s="447">
        <v>2001</v>
      </c>
      <c r="D46" s="448">
        <v>554357.20000000007</v>
      </c>
      <c r="E46" s="449">
        <f>'FORM D'!G52</f>
        <v>1.3973555306086496</v>
      </c>
      <c r="F46" s="448">
        <f t="shared" si="0"/>
        <v>774634.1</v>
      </c>
      <c r="G46" s="448">
        <f>SUM($F$16:F46)</f>
        <v>21616769.880000003</v>
      </c>
      <c r="H46" s="106"/>
      <c r="I46" s="337"/>
    </row>
    <row r="47" spans="1:9" x14ac:dyDescent="0.25">
      <c r="A47" s="778">
        <f t="shared" si="1"/>
        <v>32</v>
      </c>
      <c r="B47" s="779" t="s">
        <v>299</v>
      </c>
      <c r="C47" s="780">
        <v>2001</v>
      </c>
      <c r="D47" s="781">
        <v>0</v>
      </c>
      <c r="E47" s="782">
        <f>'FORM D'!G53</f>
        <v>1.3973555306086496</v>
      </c>
      <c r="F47" s="781">
        <f t="shared" si="0"/>
        <v>0</v>
      </c>
      <c r="G47" s="781">
        <f>SUM($F$16:F47)</f>
        <v>21616769.880000003</v>
      </c>
      <c r="H47" s="106"/>
      <c r="I47" s="337"/>
    </row>
    <row r="48" spans="1:9" x14ac:dyDescent="0.25">
      <c r="A48" s="135">
        <f t="shared" si="1"/>
        <v>33</v>
      </c>
      <c r="B48" s="137" t="s">
        <v>300</v>
      </c>
      <c r="C48" s="447">
        <v>2001</v>
      </c>
      <c r="D48" s="448">
        <v>495119.72000000003</v>
      </c>
      <c r="E48" s="449">
        <f>'FORM D'!G54</f>
        <v>1.3959344682619763</v>
      </c>
      <c r="F48" s="448">
        <f t="shared" si="0"/>
        <v>691154.68</v>
      </c>
      <c r="G48" s="448">
        <f>SUM($F$16:F48)</f>
        <v>22307924.560000002</v>
      </c>
      <c r="H48" s="106"/>
      <c r="I48" s="337"/>
    </row>
    <row r="49" spans="1:9" x14ac:dyDescent="0.25">
      <c r="A49" s="135">
        <f t="shared" si="1"/>
        <v>34</v>
      </c>
      <c r="B49" s="137" t="s">
        <v>289</v>
      </c>
      <c r="C49" s="447">
        <v>2001</v>
      </c>
      <c r="D49" s="448">
        <v>492338.47000000003</v>
      </c>
      <c r="E49" s="449">
        <f>'FORM D'!G55</f>
        <v>1.4124906853961898</v>
      </c>
      <c r="F49" s="448">
        <f t="shared" si="0"/>
        <v>695423.5</v>
      </c>
      <c r="G49" s="448">
        <f>SUM($F$16:F49)</f>
        <v>23003348.060000002</v>
      </c>
      <c r="H49" s="106"/>
      <c r="I49" s="337"/>
    </row>
    <row r="50" spans="1:9" x14ac:dyDescent="0.25">
      <c r="A50" s="135">
        <f t="shared" si="1"/>
        <v>35</v>
      </c>
      <c r="B50" s="137" t="s">
        <v>290</v>
      </c>
      <c r="C50" s="447">
        <v>2001</v>
      </c>
      <c r="D50" s="448">
        <v>571884.92000000004</v>
      </c>
      <c r="E50" s="449">
        <f>'FORM D'!G56</f>
        <v>1.414813559890117</v>
      </c>
      <c r="F50" s="448">
        <f t="shared" si="0"/>
        <v>809110.54</v>
      </c>
      <c r="G50" s="448">
        <f>SUM($F$16:F50)</f>
        <v>23812458.600000001</v>
      </c>
      <c r="H50" s="106"/>
      <c r="I50" s="337"/>
    </row>
    <row r="51" spans="1:9" x14ac:dyDescent="0.25">
      <c r="A51" s="135">
        <f t="shared" si="1"/>
        <v>36</v>
      </c>
      <c r="B51" s="137" t="s">
        <v>291</v>
      </c>
      <c r="C51" s="447">
        <v>2001</v>
      </c>
      <c r="D51" s="448">
        <v>522546.56</v>
      </c>
      <c r="E51" s="449">
        <f>'FORM D'!G57</f>
        <v>1.4144582943034489</v>
      </c>
      <c r="F51" s="448">
        <f t="shared" si="0"/>
        <v>739120.32</v>
      </c>
      <c r="G51" s="448">
        <f>SUM($F$16:F51)</f>
        <v>24551578.920000002</v>
      </c>
      <c r="H51" s="106"/>
      <c r="I51" s="337"/>
    </row>
    <row r="52" spans="1:9" x14ac:dyDescent="0.25">
      <c r="A52" s="135">
        <f t="shared" si="1"/>
        <v>37</v>
      </c>
      <c r="B52" s="137" t="s">
        <v>292</v>
      </c>
      <c r="C52" s="447">
        <v>2001</v>
      </c>
      <c r="D52" s="448">
        <v>553942.75</v>
      </c>
      <c r="E52" s="449">
        <f>'FORM D'!G58</f>
        <v>1.4226294027968198</v>
      </c>
      <c r="F52" s="448">
        <f t="shared" si="0"/>
        <v>788055.24</v>
      </c>
      <c r="G52" s="448">
        <f>SUM($F$16:F52)</f>
        <v>25339634.16</v>
      </c>
      <c r="H52" s="106"/>
      <c r="I52" s="337"/>
    </row>
    <row r="53" spans="1:9" x14ac:dyDescent="0.25">
      <c r="A53" s="135">
        <f t="shared" si="1"/>
        <v>38</v>
      </c>
      <c r="B53" s="137" t="s">
        <v>293</v>
      </c>
      <c r="C53" s="447">
        <v>2001</v>
      </c>
      <c r="D53" s="448">
        <v>589659.29</v>
      </c>
      <c r="E53" s="449">
        <f>'FORM D'!G59</f>
        <v>1.4212083404501465</v>
      </c>
      <c r="F53" s="448">
        <f t="shared" si="0"/>
        <v>838028.7</v>
      </c>
      <c r="G53" s="448">
        <f>SUM($F$16:F53)</f>
        <v>26177662.859999999</v>
      </c>
      <c r="H53" s="106"/>
      <c r="I53" s="337"/>
    </row>
    <row r="54" spans="1:9" x14ac:dyDescent="0.25">
      <c r="A54" s="135">
        <f t="shared" si="1"/>
        <v>39</v>
      </c>
      <c r="B54" s="137" t="s">
        <v>294</v>
      </c>
      <c r="C54" s="447">
        <v>2001</v>
      </c>
      <c r="D54" s="448">
        <v>654218.30000000005</v>
      </c>
      <c r="E54" s="449">
        <f>'FORM D'!G60</f>
        <v>1.412326700783439</v>
      </c>
      <c r="F54" s="448">
        <f t="shared" si="0"/>
        <v>923969.97</v>
      </c>
      <c r="G54" s="448">
        <f>SUM($F$16:F54)</f>
        <v>27101632.829999998</v>
      </c>
      <c r="H54" s="106"/>
      <c r="I54" s="337"/>
    </row>
    <row r="55" spans="1:9" x14ac:dyDescent="0.25">
      <c r="A55" s="135">
        <f t="shared" si="1"/>
        <v>40</v>
      </c>
      <c r="B55" s="137" t="s">
        <v>295</v>
      </c>
      <c r="C55" s="447">
        <v>2002</v>
      </c>
      <c r="D55" s="448">
        <v>676455.07000000007</v>
      </c>
      <c r="E55" s="449">
        <f>'FORM D'!G61</f>
        <v>1.4531822432502937</v>
      </c>
      <c r="F55" s="448">
        <f t="shared" si="0"/>
        <v>983012.5</v>
      </c>
      <c r="G55" s="448">
        <f>SUM($F$16:F55)</f>
        <v>28084645.329999998</v>
      </c>
      <c r="H55" s="106"/>
      <c r="I55" s="337"/>
    </row>
    <row r="56" spans="1:9" x14ac:dyDescent="0.25">
      <c r="A56" s="135">
        <f t="shared" si="1"/>
        <v>41</v>
      </c>
      <c r="B56" s="137" t="s">
        <v>296</v>
      </c>
      <c r="C56" s="447">
        <v>2002</v>
      </c>
      <c r="D56" s="448">
        <v>662272.73</v>
      </c>
      <c r="E56" s="449">
        <f>'FORM D'!G62</f>
        <v>1.4683036400208329</v>
      </c>
      <c r="F56" s="448">
        <f t="shared" si="0"/>
        <v>972417.46</v>
      </c>
      <c r="G56" s="448">
        <f>SUM($F$16:F56)</f>
        <v>29057062.789999999</v>
      </c>
      <c r="H56" s="106"/>
      <c r="I56" s="337"/>
    </row>
    <row r="57" spans="1:9" x14ac:dyDescent="0.25">
      <c r="A57" s="135">
        <f t="shared" si="1"/>
        <v>42</v>
      </c>
      <c r="B57" s="137" t="s">
        <v>297</v>
      </c>
      <c r="C57" s="447">
        <v>2002</v>
      </c>
      <c r="D57" s="448">
        <v>678899.27</v>
      </c>
      <c r="E57" s="449">
        <f>'FORM D'!G63</f>
        <v>1.4494745639274131</v>
      </c>
      <c r="F57" s="448">
        <f t="shared" si="0"/>
        <v>984047.22</v>
      </c>
      <c r="G57" s="448">
        <f>SUM($F$16:F57)</f>
        <v>30041110.009999998</v>
      </c>
      <c r="H57" s="106"/>
      <c r="I57" s="337"/>
    </row>
    <row r="58" spans="1:9" x14ac:dyDescent="0.25">
      <c r="A58" s="135">
        <f t="shared" si="1"/>
        <v>43</v>
      </c>
      <c r="B58" s="137" t="s">
        <v>298</v>
      </c>
      <c r="C58" s="447">
        <v>2002</v>
      </c>
      <c r="D58" s="448">
        <v>680881.88</v>
      </c>
      <c r="E58" s="449">
        <f>'FORM D'!G64</f>
        <v>1.5280699412188536</v>
      </c>
      <c r="F58" s="448">
        <f t="shared" si="0"/>
        <v>1040435.13</v>
      </c>
      <c r="G58" s="448">
        <f>SUM($F$16:F58)</f>
        <v>31081545.139999997</v>
      </c>
      <c r="H58" s="106"/>
      <c r="I58" s="337"/>
    </row>
    <row r="59" spans="1:9" x14ac:dyDescent="0.25">
      <c r="A59" s="135">
        <f t="shared" si="1"/>
        <v>44</v>
      </c>
      <c r="B59" s="137" t="s">
        <v>299</v>
      </c>
      <c r="C59" s="447">
        <v>2002</v>
      </c>
      <c r="D59" s="448">
        <v>674808.91</v>
      </c>
      <c r="E59" s="449">
        <f>'FORM D'!G65</f>
        <v>1.5726873428394157</v>
      </c>
      <c r="F59" s="448">
        <f t="shared" si="0"/>
        <v>1061263.43</v>
      </c>
      <c r="G59" s="448">
        <f>SUM($F$16:F59)</f>
        <v>32142808.569999997</v>
      </c>
      <c r="H59" s="106"/>
      <c r="I59" s="337"/>
    </row>
    <row r="60" spans="1:9" x14ac:dyDescent="0.25">
      <c r="A60" s="135">
        <f t="shared" si="1"/>
        <v>45</v>
      </c>
      <c r="B60" s="137" t="s">
        <v>300</v>
      </c>
      <c r="C60" s="447">
        <v>2002</v>
      </c>
      <c r="D60" s="448">
        <v>670696.37</v>
      </c>
      <c r="E60" s="449">
        <f>'FORM D'!G66</f>
        <v>1.579082123399445</v>
      </c>
      <c r="F60" s="448">
        <f t="shared" si="0"/>
        <v>1059084.6499999999</v>
      </c>
      <c r="G60" s="448">
        <f>SUM($F$16:F60)</f>
        <v>33201893.219999995</v>
      </c>
      <c r="H60" s="106"/>
      <c r="I60" s="337"/>
    </row>
    <row r="61" spans="1:9" x14ac:dyDescent="0.25">
      <c r="A61" s="135">
        <f t="shared" si="1"/>
        <v>46</v>
      </c>
      <c r="B61" s="137" t="s">
        <v>289</v>
      </c>
      <c r="C61" s="447">
        <v>2002</v>
      </c>
      <c r="D61" s="448">
        <v>642882.17000000004</v>
      </c>
      <c r="E61" s="449">
        <f>'FORM D'!G67</f>
        <v>1.6009378371926879</v>
      </c>
      <c r="F61" s="448">
        <f t="shared" si="0"/>
        <v>1029214.39</v>
      </c>
      <c r="G61" s="448">
        <f>SUM($F$16:F61)</f>
        <v>34231107.609999992</v>
      </c>
      <c r="H61" s="106"/>
      <c r="I61" s="337"/>
    </row>
    <row r="62" spans="1:9" x14ac:dyDescent="0.25">
      <c r="A62" s="135">
        <f t="shared" si="1"/>
        <v>47</v>
      </c>
      <c r="B62" s="137" t="s">
        <v>290</v>
      </c>
      <c r="C62" s="447">
        <v>2002</v>
      </c>
      <c r="D62" s="448">
        <v>673295.20000000007</v>
      </c>
      <c r="E62" s="449">
        <f>'FORM D'!G68</f>
        <v>1.6070957052130208</v>
      </c>
      <c r="F62" s="448">
        <f t="shared" si="0"/>
        <v>1082049.82</v>
      </c>
      <c r="G62" s="448">
        <f>SUM($F$16:F62)</f>
        <v>35313157.429999992</v>
      </c>
      <c r="H62" s="106"/>
      <c r="I62" s="337"/>
    </row>
    <row r="63" spans="1:9" x14ac:dyDescent="0.25">
      <c r="A63" s="135">
        <f t="shared" si="1"/>
        <v>48</v>
      </c>
      <c r="B63" s="137" t="s">
        <v>291</v>
      </c>
      <c r="C63" s="447">
        <v>2002</v>
      </c>
      <c r="D63" s="448">
        <v>674736.49</v>
      </c>
      <c r="E63" s="449">
        <f>'FORM D'!G69</f>
        <v>1.6213063286797529</v>
      </c>
      <c r="F63" s="448">
        <f t="shared" si="0"/>
        <v>1093954.54</v>
      </c>
      <c r="G63" s="448">
        <f>SUM($F$16:F63)</f>
        <v>36407111.969999991</v>
      </c>
      <c r="H63" s="106"/>
      <c r="I63" s="337"/>
    </row>
    <row r="64" spans="1:9" x14ac:dyDescent="0.25">
      <c r="A64" s="135">
        <f t="shared" si="1"/>
        <v>49</v>
      </c>
      <c r="B64" s="137" t="s">
        <v>292</v>
      </c>
      <c r="C64" s="447">
        <v>2002</v>
      </c>
      <c r="D64" s="448">
        <v>638688.44000000006</v>
      </c>
      <c r="E64" s="449">
        <f>'FORM D'!G70</f>
        <v>1.654701293826573</v>
      </c>
      <c r="F64" s="448">
        <f t="shared" si="0"/>
        <v>1056838.5900000001</v>
      </c>
      <c r="G64" s="448">
        <f>SUM($F$16:F64)</f>
        <v>37463950.559999995</v>
      </c>
      <c r="H64" s="106"/>
      <c r="I64" s="337"/>
    </row>
    <row r="65" spans="1:9" x14ac:dyDescent="0.25">
      <c r="A65" s="135">
        <f t="shared" si="1"/>
        <v>50</v>
      </c>
      <c r="B65" s="137" t="s">
        <v>293</v>
      </c>
      <c r="C65" s="447">
        <v>2002</v>
      </c>
      <c r="D65" s="448">
        <v>666969.05000000005</v>
      </c>
      <c r="E65" s="449">
        <f>'FORM D'!G71</f>
        <v>1.6863653561600782</v>
      </c>
      <c r="F65" s="448">
        <f t="shared" si="0"/>
        <v>1124753.5</v>
      </c>
      <c r="G65" s="448">
        <f>SUM($F$16:F65)</f>
        <v>38588704.059999995</v>
      </c>
      <c r="H65" s="106"/>
      <c r="I65" s="337"/>
    </row>
    <row r="66" spans="1:9" x14ac:dyDescent="0.25">
      <c r="A66" s="135">
        <f t="shared" si="1"/>
        <v>51</v>
      </c>
      <c r="B66" s="137" t="s">
        <v>294</v>
      </c>
      <c r="C66" s="447">
        <v>2002</v>
      </c>
      <c r="D66" s="448">
        <v>665476.61</v>
      </c>
      <c r="E66" s="449">
        <f>'FORM D'!G72</f>
        <v>1.6572335780532776</v>
      </c>
      <c r="F66" s="448">
        <f t="shared" si="0"/>
        <v>1102850.18</v>
      </c>
      <c r="G66" s="448">
        <f>SUM($F$16:F66)</f>
        <v>39691554.239999995</v>
      </c>
      <c r="H66" s="106"/>
      <c r="I66" s="337"/>
    </row>
    <row r="67" spans="1:9" x14ac:dyDescent="0.25">
      <c r="A67" s="135">
        <f t="shared" si="1"/>
        <v>52</v>
      </c>
      <c r="B67" s="137" t="s">
        <v>295</v>
      </c>
      <c r="C67" s="447">
        <v>2003</v>
      </c>
      <c r="D67" s="448">
        <v>675505.68</v>
      </c>
      <c r="E67" s="449">
        <f>'FORM D'!G73</f>
        <v>1.6042990056397008</v>
      </c>
      <c r="F67" s="448">
        <f t="shared" si="0"/>
        <v>1083713.0900000001</v>
      </c>
      <c r="G67" s="448">
        <f>SUM($F$16:F67)</f>
        <v>40775267.329999998</v>
      </c>
      <c r="H67" s="106"/>
      <c r="I67" s="337"/>
    </row>
    <row r="68" spans="1:9" x14ac:dyDescent="0.25">
      <c r="A68" s="135">
        <f t="shared" si="1"/>
        <v>53</v>
      </c>
      <c r="B68" s="137" t="s">
        <v>296</v>
      </c>
      <c r="C68" s="447">
        <v>2003</v>
      </c>
      <c r="D68" s="448">
        <v>662420.55000000005</v>
      </c>
      <c r="E68" s="449">
        <f>'FORM D'!G74</f>
        <v>1.623055153806175</v>
      </c>
      <c r="F68" s="448">
        <f t="shared" si="0"/>
        <v>1075145.0900000001</v>
      </c>
      <c r="G68" s="448">
        <f>SUM($F$16:F68)</f>
        <v>41850412.420000002</v>
      </c>
      <c r="H68" s="106"/>
      <c r="I68" s="337"/>
    </row>
    <row r="69" spans="1:9" x14ac:dyDescent="0.25">
      <c r="A69" s="135">
        <f t="shared" si="1"/>
        <v>54</v>
      </c>
      <c r="B69" s="137" t="s">
        <v>297</v>
      </c>
      <c r="C69" s="447">
        <v>2003</v>
      </c>
      <c r="D69" s="448">
        <v>658153.23</v>
      </c>
      <c r="E69" s="449">
        <f>'FORM D'!G75</f>
        <v>1.6539632598463174</v>
      </c>
      <c r="F69" s="448">
        <f t="shared" si="0"/>
        <v>1088561.26</v>
      </c>
      <c r="G69" s="448">
        <f>SUM($F$16:F69)</f>
        <v>42938973.68</v>
      </c>
      <c r="H69" s="106"/>
      <c r="I69" s="337"/>
    </row>
    <row r="70" spans="1:9" x14ac:dyDescent="0.25">
      <c r="A70" s="135">
        <f t="shared" si="1"/>
        <v>55</v>
      </c>
      <c r="B70" s="137" t="s">
        <v>298</v>
      </c>
      <c r="C70" s="447">
        <v>2003</v>
      </c>
      <c r="D70" s="448">
        <v>661244.61</v>
      </c>
      <c r="E70" s="449">
        <f>'FORM D'!G76</f>
        <v>1.6735028671130738</v>
      </c>
      <c r="F70" s="448">
        <f t="shared" si="0"/>
        <v>1106594.75</v>
      </c>
      <c r="G70" s="448">
        <f>SUM($F$16:F70)</f>
        <v>44045568.43</v>
      </c>
      <c r="H70" s="106"/>
      <c r="I70" s="337"/>
    </row>
    <row r="71" spans="1:9" x14ac:dyDescent="0.25">
      <c r="A71" s="135">
        <f t="shared" si="1"/>
        <v>56</v>
      </c>
      <c r="B71" s="137" t="s">
        <v>299</v>
      </c>
      <c r="C71" s="447">
        <v>2003</v>
      </c>
      <c r="D71" s="448">
        <v>675130.24</v>
      </c>
      <c r="E71" s="449">
        <f>'FORM D'!G77</f>
        <v>1.5526852712846853</v>
      </c>
      <c r="F71" s="448">
        <f t="shared" si="0"/>
        <v>1048264.78</v>
      </c>
      <c r="G71" s="448">
        <f>SUM($F$16:F71)</f>
        <v>45093833.210000001</v>
      </c>
      <c r="H71" s="106"/>
      <c r="I71" s="337"/>
    </row>
    <row r="72" spans="1:9" x14ac:dyDescent="0.25">
      <c r="A72" s="135">
        <f t="shared" si="1"/>
        <v>57</v>
      </c>
      <c r="B72" s="137" t="s">
        <v>300</v>
      </c>
      <c r="C72" s="447">
        <v>2003</v>
      </c>
      <c r="D72" s="448">
        <v>677755.65</v>
      </c>
      <c r="E72" s="449">
        <f>'FORM D'!G78</f>
        <v>1.5231982275912164</v>
      </c>
      <c r="F72" s="448">
        <f t="shared" si="0"/>
        <v>1032356.2</v>
      </c>
      <c r="G72" s="448">
        <f>SUM($F$16:F72)</f>
        <v>46126189.410000004</v>
      </c>
      <c r="H72" s="106"/>
      <c r="I72" s="337"/>
    </row>
    <row r="73" spans="1:9" x14ac:dyDescent="0.25">
      <c r="A73" s="135">
        <f t="shared" si="1"/>
        <v>58</v>
      </c>
      <c r="B73" s="137" t="s">
        <v>289</v>
      </c>
      <c r="C73" s="447">
        <v>2003</v>
      </c>
      <c r="D73" s="448">
        <v>642743.17000000004</v>
      </c>
      <c r="E73" s="449">
        <f>'FORM D'!G79</f>
        <v>1.5884033560633388</v>
      </c>
      <c r="F73" s="448">
        <f t="shared" si="0"/>
        <v>1020935.41</v>
      </c>
      <c r="G73" s="448">
        <f>SUM($F$16:F73)</f>
        <v>47147124.82</v>
      </c>
      <c r="H73" s="106"/>
      <c r="I73" s="337"/>
    </row>
    <row r="74" spans="1:9" x14ac:dyDescent="0.25">
      <c r="A74" s="135">
        <f t="shared" si="1"/>
        <v>59</v>
      </c>
      <c r="B74" s="137" t="s">
        <v>290</v>
      </c>
      <c r="C74" s="447">
        <v>2003</v>
      </c>
      <c r="D74" s="448">
        <v>659619.79</v>
      </c>
      <c r="E74" s="449">
        <f>'FORM D'!G80</f>
        <v>1.5730631755119626</v>
      </c>
      <c r="F74" s="448">
        <f t="shared" si="0"/>
        <v>1037623.6</v>
      </c>
      <c r="G74" s="448">
        <f>SUM($F$16:F74)</f>
        <v>48184748.420000002</v>
      </c>
      <c r="H74" s="106"/>
      <c r="I74" s="337"/>
    </row>
    <row r="75" spans="1:9" x14ac:dyDescent="0.25">
      <c r="A75" s="135">
        <f t="shared" si="1"/>
        <v>60</v>
      </c>
      <c r="B75" s="137" t="s">
        <v>291</v>
      </c>
      <c r="C75" s="447">
        <v>2003</v>
      </c>
      <c r="D75" s="448">
        <v>653181.91</v>
      </c>
      <c r="E75" s="449">
        <f>'FORM D'!G81</f>
        <v>1.5819448151786704</v>
      </c>
      <c r="F75" s="448">
        <f t="shared" si="0"/>
        <v>1033297.74</v>
      </c>
      <c r="G75" s="448">
        <f>SUM($F$16:F75)</f>
        <v>49218046.160000004</v>
      </c>
      <c r="H75" s="106"/>
      <c r="I75" s="337"/>
    </row>
    <row r="76" spans="1:9" x14ac:dyDescent="0.25">
      <c r="A76" s="135">
        <f t="shared" si="1"/>
        <v>61</v>
      </c>
      <c r="B76" s="137" t="s">
        <v>292</v>
      </c>
      <c r="C76" s="447">
        <v>2003</v>
      </c>
      <c r="D76" s="448">
        <v>643636.70000000007</v>
      </c>
      <c r="E76" s="449">
        <f>'FORM D'!G82</f>
        <v>1.572352644338626</v>
      </c>
      <c r="F76" s="448">
        <f t="shared" si="0"/>
        <v>1012023.87</v>
      </c>
      <c r="G76" s="448">
        <f>SUM($F$16:F76)</f>
        <v>50230070.030000001</v>
      </c>
      <c r="H76" s="106"/>
      <c r="I76" s="337"/>
    </row>
    <row r="77" spans="1:9" x14ac:dyDescent="0.25">
      <c r="A77" s="135">
        <f t="shared" si="1"/>
        <v>62</v>
      </c>
      <c r="B77" s="137" t="s">
        <v>293</v>
      </c>
      <c r="C77" s="447">
        <v>2003</v>
      </c>
      <c r="D77" s="448">
        <v>692420.04</v>
      </c>
      <c r="E77" s="449">
        <f>'FORM D'!G83</f>
        <v>1.5751128799484735</v>
      </c>
      <c r="F77" s="448">
        <f t="shared" si="0"/>
        <v>1090639.72</v>
      </c>
      <c r="G77" s="448">
        <f>SUM($F$16:F77)</f>
        <v>51320709.75</v>
      </c>
      <c r="H77" s="106"/>
      <c r="I77" s="337"/>
    </row>
    <row r="78" spans="1:9" x14ac:dyDescent="0.25">
      <c r="A78" s="135">
        <f t="shared" si="1"/>
        <v>63</v>
      </c>
      <c r="B78" s="137" t="s">
        <v>294</v>
      </c>
      <c r="C78" s="447">
        <v>2003</v>
      </c>
      <c r="D78" s="448">
        <v>665713.03</v>
      </c>
      <c r="E78" s="449">
        <f>'FORM D'!G84</f>
        <v>1.5687180993884438</v>
      </c>
      <c r="F78" s="448">
        <f t="shared" si="0"/>
        <v>1044316.08</v>
      </c>
      <c r="G78" s="448">
        <f>SUM($F$16:F78)</f>
        <v>52365025.829999998</v>
      </c>
      <c r="H78" s="106"/>
      <c r="I78" s="337"/>
    </row>
    <row r="79" spans="1:9" x14ac:dyDescent="0.25">
      <c r="A79" s="135">
        <f t="shared" si="1"/>
        <v>64</v>
      </c>
      <c r="B79" s="137" t="s">
        <v>295</v>
      </c>
      <c r="C79" s="447">
        <v>2004</v>
      </c>
      <c r="D79" s="448">
        <v>661886.84000000008</v>
      </c>
      <c r="E79" s="449">
        <f>'FORM D'!G85</f>
        <v>1.5573496006150584</v>
      </c>
      <c r="F79" s="448">
        <f t="shared" si="0"/>
        <v>1030789.21</v>
      </c>
      <c r="G79" s="448">
        <f>SUM($F$16:F79)</f>
        <v>53395815.039999999</v>
      </c>
      <c r="H79" s="106"/>
      <c r="I79" s="337"/>
    </row>
    <row r="80" spans="1:9" x14ac:dyDescent="0.25">
      <c r="A80" s="135">
        <f t="shared" si="1"/>
        <v>65</v>
      </c>
      <c r="B80" s="137" t="s">
        <v>296</v>
      </c>
      <c r="C80" s="447">
        <v>2004</v>
      </c>
      <c r="D80" s="448">
        <v>387919.3600000001</v>
      </c>
      <c r="E80" s="449">
        <f>'FORM D'!G86</f>
        <v>1.6008286904401758</v>
      </c>
      <c r="F80" s="448">
        <f t="shared" si="0"/>
        <v>620992.43999999994</v>
      </c>
      <c r="G80" s="448">
        <f>SUM($F$16:F80)</f>
        <v>54016807.479999997</v>
      </c>
      <c r="H80" s="106"/>
      <c r="I80" s="337"/>
    </row>
    <row r="81" spans="1:9" x14ac:dyDescent="0.25">
      <c r="A81" s="135">
        <f t="shared" si="1"/>
        <v>66</v>
      </c>
      <c r="B81" s="137" t="s">
        <v>297</v>
      </c>
      <c r="C81" s="447">
        <v>2004</v>
      </c>
      <c r="D81" s="448">
        <v>676324.62</v>
      </c>
      <c r="E81" s="449">
        <f>'FORM D'!G87</f>
        <v>1.5812890831734192</v>
      </c>
      <c r="F81" s="448">
        <f t="shared" si="0"/>
        <v>1069464.74</v>
      </c>
      <c r="G81" s="448">
        <f>SUM($F$16:F81)</f>
        <v>55086272.219999999</v>
      </c>
      <c r="H81" s="106"/>
      <c r="I81" s="337"/>
    </row>
    <row r="82" spans="1:9" x14ac:dyDescent="0.25">
      <c r="A82" s="135">
        <f t="shared" si="1"/>
        <v>67</v>
      </c>
      <c r="B82" s="137" t="s">
        <v>298</v>
      </c>
      <c r="C82" s="447">
        <v>2004</v>
      </c>
      <c r="D82" s="448">
        <v>680682.63</v>
      </c>
      <c r="E82" s="449">
        <f>'FORM D'!G88</f>
        <v>1.5947891754668149</v>
      </c>
      <c r="F82" s="448">
        <f t="shared" si="0"/>
        <v>1085545.29</v>
      </c>
      <c r="G82" s="448">
        <f>SUM($F$16:F82)</f>
        <v>56171817.509999998</v>
      </c>
      <c r="H82" s="106"/>
      <c r="I82" s="337"/>
    </row>
    <row r="83" spans="1:9" x14ac:dyDescent="0.25">
      <c r="A83" s="135">
        <f t="shared" si="1"/>
        <v>68</v>
      </c>
      <c r="B83" s="137" t="s">
        <v>299</v>
      </c>
      <c r="C83" s="447">
        <v>2004</v>
      </c>
      <c r="D83" s="448">
        <v>669035.09000000008</v>
      </c>
      <c r="E83" s="449">
        <f>'FORM D'!G89</f>
        <v>1.5893418386198184</v>
      </c>
      <c r="F83" s="448">
        <f t="shared" si="0"/>
        <v>1063325.46</v>
      </c>
      <c r="G83" s="448">
        <f>SUM($F$16:F83)</f>
        <v>57235142.969999999</v>
      </c>
      <c r="H83" s="106"/>
      <c r="I83" s="337"/>
    </row>
    <row r="84" spans="1:9" x14ac:dyDescent="0.25">
      <c r="A84" s="135">
        <f t="shared" si="1"/>
        <v>69</v>
      </c>
      <c r="B84" s="137" t="s">
        <v>300</v>
      </c>
      <c r="C84" s="447">
        <v>2004</v>
      </c>
      <c r="D84" s="448">
        <v>645086.47000000009</v>
      </c>
      <c r="E84" s="449">
        <f>'FORM D'!G90</f>
        <v>1.6351710993000292</v>
      </c>
      <c r="F84" s="448">
        <f t="shared" si="0"/>
        <v>1054826.75</v>
      </c>
      <c r="G84" s="448">
        <f>SUM($F$16:F84)</f>
        <v>58289969.719999999</v>
      </c>
      <c r="H84" s="106"/>
      <c r="I84" s="337"/>
    </row>
    <row r="85" spans="1:9" x14ac:dyDescent="0.25">
      <c r="A85" s="135">
        <f t="shared" si="1"/>
        <v>70</v>
      </c>
      <c r="B85" s="137" t="s">
        <v>289</v>
      </c>
      <c r="C85" s="447">
        <v>2004</v>
      </c>
      <c r="D85" s="448">
        <v>690112.06</v>
      </c>
      <c r="E85" s="449">
        <f>'FORM D'!G91</f>
        <v>1.6371345939853903</v>
      </c>
      <c r="F85" s="448">
        <f t="shared" si="0"/>
        <v>1129806.33</v>
      </c>
      <c r="G85" s="448">
        <f>SUM($F$16:F85)</f>
        <v>59419776.049999997</v>
      </c>
      <c r="H85" s="106"/>
      <c r="I85" s="337"/>
    </row>
    <row r="86" spans="1:9" x14ac:dyDescent="0.25">
      <c r="A86" s="135">
        <f t="shared" si="1"/>
        <v>71</v>
      </c>
      <c r="B86" s="137" t="s">
        <v>290</v>
      </c>
      <c r="C86" s="447">
        <v>2004</v>
      </c>
      <c r="D86" s="448">
        <v>664065.05000000005</v>
      </c>
      <c r="E86" s="449">
        <f>'FORM D'!G92</f>
        <v>1.6527025194741567</v>
      </c>
      <c r="F86" s="448">
        <f t="shared" si="0"/>
        <v>1097501.98</v>
      </c>
      <c r="G86" s="448">
        <f>SUM($F$16:F86)</f>
        <v>60517278.029999994</v>
      </c>
      <c r="H86" s="106"/>
      <c r="I86" s="337"/>
    </row>
    <row r="87" spans="1:9" x14ac:dyDescent="0.25">
      <c r="A87" s="135">
        <f t="shared" si="1"/>
        <v>72</v>
      </c>
      <c r="B87" s="137" t="s">
        <v>291</v>
      </c>
      <c r="C87" s="447">
        <v>2004</v>
      </c>
      <c r="D87" s="448">
        <v>656226.35</v>
      </c>
      <c r="E87" s="449">
        <f>'FORM D'!G93</f>
        <v>1.6974659833943626</v>
      </c>
      <c r="F87" s="448">
        <f t="shared" si="0"/>
        <v>1113921.9099999999</v>
      </c>
      <c r="G87" s="448">
        <f>SUM($F$16:F87)</f>
        <v>61631199.93999999</v>
      </c>
      <c r="H87" s="106"/>
      <c r="I87" s="337"/>
    </row>
    <row r="88" spans="1:9" x14ac:dyDescent="0.25">
      <c r="A88" s="135">
        <f t="shared" si="1"/>
        <v>73</v>
      </c>
      <c r="B88" s="137" t="s">
        <v>292</v>
      </c>
      <c r="C88" s="447">
        <v>2004</v>
      </c>
      <c r="D88" s="448">
        <v>676308.83</v>
      </c>
      <c r="E88" s="449">
        <f>'FORM D'!G94</f>
        <v>1.7287293550211731</v>
      </c>
      <c r="F88" s="448">
        <f t="shared" si="0"/>
        <v>1169154.93</v>
      </c>
      <c r="G88" s="448">
        <f>SUM($F$16:F88)</f>
        <v>62800354.86999999</v>
      </c>
      <c r="H88" s="106"/>
      <c r="I88" s="337"/>
    </row>
    <row r="89" spans="1:9" x14ac:dyDescent="0.25">
      <c r="A89" s="135">
        <f t="shared" si="1"/>
        <v>74</v>
      </c>
      <c r="B89" s="137" t="s">
        <v>293</v>
      </c>
      <c r="C89" s="447">
        <v>2004</v>
      </c>
      <c r="D89" s="448">
        <v>663673.96000000008</v>
      </c>
      <c r="E89" s="449">
        <f>'FORM D'!G95</f>
        <v>1.7642559136880034</v>
      </c>
      <c r="F89" s="448">
        <f t="shared" si="0"/>
        <v>1170890.71</v>
      </c>
      <c r="G89" s="448">
        <f>SUM($F$16:F89)</f>
        <v>63971245.579999991</v>
      </c>
      <c r="H89" s="106"/>
      <c r="I89" s="337"/>
    </row>
    <row r="90" spans="1:9" x14ac:dyDescent="0.25">
      <c r="A90" s="135">
        <f t="shared" si="1"/>
        <v>75</v>
      </c>
      <c r="B90" s="137" t="s">
        <v>294</v>
      </c>
      <c r="C90" s="447">
        <v>2004</v>
      </c>
      <c r="D90" s="448">
        <v>678729.0900000002</v>
      </c>
      <c r="E90" s="449">
        <f>'FORM D'!G96</f>
        <v>1.7194924497677975</v>
      </c>
      <c r="F90" s="448">
        <f t="shared" si="0"/>
        <v>1167069.55</v>
      </c>
      <c r="G90" s="448">
        <f>SUM($F$16:F90)</f>
        <v>65138315.129999988</v>
      </c>
      <c r="H90" s="106"/>
      <c r="I90" s="337"/>
    </row>
    <row r="91" spans="1:9" x14ac:dyDescent="0.25">
      <c r="A91" s="135">
        <f t="shared" si="1"/>
        <v>76</v>
      </c>
      <c r="B91" s="137" t="s">
        <v>295</v>
      </c>
      <c r="C91" s="447">
        <v>2005</v>
      </c>
      <c r="D91" s="448">
        <v>660014.57000000007</v>
      </c>
      <c r="E91" s="449">
        <f>'FORM D'!G97</f>
        <v>1.6601630967941912</v>
      </c>
      <c r="F91" s="448">
        <f t="shared" si="0"/>
        <v>1095731.83</v>
      </c>
      <c r="G91" s="448">
        <f>SUM($F$16:F91)</f>
        <v>66234046.959999986</v>
      </c>
      <c r="H91" s="106"/>
      <c r="I91" s="337"/>
    </row>
    <row r="92" spans="1:9" x14ac:dyDescent="0.25">
      <c r="A92" s="135">
        <f t="shared" si="1"/>
        <v>77</v>
      </c>
      <c r="B92" s="137" t="s">
        <v>296</v>
      </c>
      <c r="C92" s="447">
        <v>2005</v>
      </c>
      <c r="D92" s="448">
        <v>661915.99</v>
      </c>
      <c r="E92" s="449">
        <f>'FORM D'!G98</f>
        <v>1.6639434975982641</v>
      </c>
      <c r="F92" s="448">
        <f t="shared" si="0"/>
        <v>1101390.81</v>
      </c>
      <c r="G92" s="448">
        <f>SUM($F$16:F92)</f>
        <v>67335437.769999981</v>
      </c>
      <c r="H92" s="106"/>
      <c r="I92" s="337"/>
    </row>
    <row r="93" spans="1:9" x14ac:dyDescent="0.25">
      <c r="A93" s="135">
        <f t="shared" si="1"/>
        <v>78</v>
      </c>
      <c r="B93" s="137" t="s">
        <v>297</v>
      </c>
      <c r="C93" s="447">
        <v>2005</v>
      </c>
      <c r="D93" s="448">
        <v>687877.77</v>
      </c>
      <c r="E93" s="449">
        <f>'FORM D'!G99</f>
        <v>1.7094174926918067</v>
      </c>
      <c r="F93" s="448">
        <f t="shared" si="0"/>
        <v>1175870.29</v>
      </c>
      <c r="G93" s="448">
        <f>SUM($F$16:F93)</f>
        <v>68511308.059999987</v>
      </c>
      <c r="H93" s="106"/>
      <c r="I93" s="337"/>
    </row>
    <row r="94" spans="1:9" x14ac:dyDescent="0.25">
      <c r="A94" s="135">
        <f t="shared" si="1"/>
        <v>79</v>
      </c>
      <c r="B94" s="137" t="s">
        <v>298</v>
      </c>
      <c r="C94" s="447">
        <v>2005</v>
      </c>
      <c r="D94" s="448">
        <v>694017.2100000002</v>
      </c>
      <c r="E94" s="449">
        <f>'FORM D'!G100</f>
        <v>1.7907733120388474</v>
      </c>
      <c r="F94" s="448">
        <f t="shared" si="0"/>
        <v>1242827.5</v>
      </c>
      <c r="G94" s="448">
        <f>SUM($F$16:F94)</f>
        <v>69754135.559999987</v>
      </c>
      <c r="H94" s="106"/>
      <c r="I94" s="337"/>
    </row>
    <row r="95" spans="1:9" x14ac:dyDescent="0.25">
      <c r="A95" s="135">
        <f t="shared" si="1"/>
        <v>80</v>
      </c>
      <c r="B95" s="137" t="s">
        <v>299</v>
      </c>
      <c r="C95" s="447">
        <v>2005</v>
      </c>
      <c r="D95" s="448">
        <v>661726.20000000007</v>
      </c>
      <c r="E95" s="449">
        <f>'FORM D'!G101</f>
        <v>1.7994909670928037</v>
      </c>
      <c r="F95" s="448">
        <f t="shared" si="0"/>
        <v>1190770.32</v>
      </c>
      <c r="G95" s="448">
        <f>SUM($F$16:F95)</f>
        <v>70944905.87999998</v>
      </c>
      <c r="H95" s="106"/>
      <c r="I95" s="337"/>
    </row>
    <row r="96" spans="1:9" x14ac:dyDescent="0.25">
      <c r="A96" s="135">
        <f t="shared" si="1"/>
        <v>81</v>
      </c>
      <c r="B96" s="137" t="s">
        <v>300</v>
      </c>
      <c r="C96" s="447">
        <v>2005</v>
      </c>
      <c r="D96" s="448">
        <v>641742.67000000004</v>
      </c>
      <c r="E96" s="449">
        <f>'FORM D'!G102</f>
        <v>1.7682275954659934</v>
      </c>
      <c r="F96" s="448">
        <f t="shared" si="0"/>
        <v>1134747.1000000001</v>
      </c>
      <c r="G96" s="448">
        <f>SUM($F$16:F96)</f>
        <v>72079652.979999974</v>
      </c>
      <c r="H96" s="106"/>
      <c r="I96" s="337"/>
    </row>
    <row r="97" spans="1:9" x14ac:dyDescent="0.25">
      <c r="A97" s="135">
        <f t="shared" si="1"/>
        <v>82</v>
      </c>
      <c r="B97" s="137" t="s">
        <v>289</v>
      </c>
      <c r="C97" s="447">
        <v>2005</v>
      </c>
      <c r="D97" s="448">
        <v>676591.43</v>
      </c>
      <c r="E97" s="449">
        <f>'FORM D'!G103</f>
        <v>1.879143679803104</v>
      </c>
      <c r="F97" s="448">
        <f t="shared" si="0"/>
        <v>1271412.51</v>
      </c>
      <c r="G97" s="448">
        <f>SUM($F$16:F97)</f>
        <v>73351065.48999998</v>
      </c>
      <c r="H97" s="106"/>
      <c r="I97" s="337"/>
    </row>
    <row r="98" spans="1:9" x14ac:dyDescent="0.25">
      <c r="A98" s="135">
        <f t="shared" si="1"/>
        <v>83</v>
      </c>
      <c r="B98" s="137" t="s">
        <v>290</v>
      </c>
      <c r="C98" s="447">
        <v>2005</v>
      </c>
      <c r="D98" s="448">
        <v>661212.84000000008</v>
      </c>
      <c r="E98" s="449">
        <f>'FORM D'!G104</f>
        <v>1.8942925793805623</v>
      </c>
      <c r="F98" s="448">
        <f t="shared" ref="F98:F161" si="2">ROUND(D98*E98,2)</f>
        <v>1252530.58</v>
      </c>
      <c r="G98" s="448">
        <f>SUM($F$16:F98)</f>
        <v>74603596.069999978</v>
      </c>
      <c r="H98" s="106"/>
      <c r="I98" s="337"/>
    </row>
    <row r="99" spans="1:9" x14ac:dyDescent="0.25">
      <c r="A99" s="135">
        <f t="shared" ref="A99:A162" si="3">A98+1</f>
        <v>84</v>
      </c>
      <c r="B99" s="137" t="s">
        <v>291</v>
      </c>
      <c r="C99" s="447">
        <v>2005</v>
      </c>
      <c r="D99" s="448">
        <v>668456.31000000006</v>
      </c>
      <c r="E99" s="449">
        <f>'FORM D'!G105</f>
        <v>1.8914504546872157</v>
      </c>
      <c r="F99" s="448">
        <f t="shared" si="2"/>
        <v>1264351.99</v>
      </c>
      <c r="G99" s="448">
        <f>SUM($F$16:F99)</f>
        <v>75867948.059999973</v>
      </c>
      <c r="H99" s="106"/>
      <c r="I99" s="337"/>
    </row>
    <row r="100" spans="1:9" x14ac:dyDescent="0.25">
      <c r="A100" s="135">
        <f t="shared" si="3"/>
        <v>85</v>
      </c>
      <c r="B100" s="137" t="s">
        <v>292</v>
      </c>
      <c r="C100" s="447">
        <v>2005</v>
      </c>
      <c r="D100" s="448">
        <v>672269.13</v>
      </c>
      <c r="E100" s="449">
        <f>'FORM D'!G106</f>
        <v>1.9124111243006456</v>
      </c>
      <c r="F100" s="448">
        <f t="shared" si="2"/>
        <v>1285654.96</v>
      </c>
      <c r="G100" s="448">
        <f>SUM($F$16:F100)</f>
        <v>77153603.019999966</v>
      </c>
      <c r="H100" s="106"/>
      <c r="I100" s="337"/>
    </row>
    <row r="101" spans="1:9" x14ac:dyDescent="0.25">
      <c r="A101" s="135">
        <f t="shared" si="3"/>
        <v>86</v>
      </c>
      <c r="B101" s="137" t="s">
        <v>293</v>
      </c>
      <c r="C101" s="447">
        <v>2005</v>
      </c>
      <c r="D101" s="448">
        <v>668296.94000000006</v>
      </c>
      <c r="E101" s="449">
        <f>'FORM D'!G107</f>
        <v>1.9124748846252846</v>
      </c>
      <c r="F101" s="448">
        <f t="shared" si="2"/>
        <v>1278101.1100000001</v>
      </c>
      <c r="G101" s="448">
        <f>SUM($F$16:F101)</f>
        <v>78431704.129999965</v>
      </c>
      <c r="H101" s="106"/>
      <c r="I101" s="337"/>
    </row>
    <row r="102" spans="1:9" x14ac:dyDescent="0.25">
      <c r="A102" s="135">
        <f t="shared" si="3"/>
        <v>87</v>
      </c>
      <c r="B102" s="137" t="s">
        <v>294</v>
      </c>
      <c r="C102" s="447">
        <v>2005</v>
      </c>
      <c r="D102" s="448">
        <v>652997.87</v>
      </c>
      <c r="E102" s="449">
        <f>'FORM D'!G108</f>
        <v>1.859540312211708</v>
      </c>
      <c r="F102" s="448">
        <f t="shared" si="2"/>
        <v>1214275.8600000001</v>
      </c>
      <c r="G102" s="448">
        <f>SUM($F$16:F102)</f>
        <v>79645979.989999965</v>
      </c>
      <c r="H102" s="106"/>
      <c r="I102" s="337"/>
    </row>
    <row r="103" spans="1:9" x14ac:dyDescent="0.25">
      <c r="A103" s="135">
        <f t="shared" si="3"/>
        <v>88</v>
      </c>
      <c r="B103" s="137" t="s">
        <v>295</v>
      </c>
      <c r="C103" s="447">
        <v>2006</v>
      </c>
      <c r="D103" s="448">
        <v>636955.9</v>
      </c>
      <c r="E103" s="449">
        <f>'FORM D'!G109</f>
        <v>1.8556323907583567</v>
      </c>
      <c r="F103" s="448">
        <f t="shared" si="2"/>
        <v>1181956</v>
      </c>
      <c r="G103" s="448">
        <f>SUM($F$16:F103)</f>
        <v>80827935.989999965</v>
      </c>
      <c r="H103" s="106"/>
      <c r="I103" s="337"/>
    </row>
    <row r="104" spans="1:9" x14ac:dyDescent="0.25">
      <c r="A104" s="135">
        <f t="shared" si="3"/>
        <v>89</v>
      </c>
      <c r="B104" s="137" t="s">
        <v>296</v>
      </c>
      <c r="C104" s="447">
        <v>2006</v>
      </c>
      <c r="D104" s="448">
        <v>659139.80000000005</v>
      </c>
      <c r="E104" s="449">
        <f>'FORM D'!G110</f>
        <v>1.8533732765890685</v>
      </c>
      <c r="F104" s="448">
        <f t="shared" si="2"/>
        <v>1221632.0900000001</v>
      </c>
      <c r="G104" s="448">
        <f>SUM($F$16:F104)</f>
        <v>82049568.079999968</v>
      </c>
      <c r="H104" s="106"/>
      <c r="I104" s="337"/>
    </row>
    <row r="105" spans="1:9" x14ac:dyDescent="0.25">
      <c r="A105" s="135">
        <f t="shared" si="3"/>
        <v>90</v>
      </c>
      <c r="B105" s="137" t="s">
        <v>297</v>
      </c>
      <c r="C105" s="447">
        <v>2006</v>
      </c>
      <c r="D105" s="448">
        <v>662035.80000000005</v>
      </c>
      <c r="E105" s="449">
        <f>'FORM D'!G111</f>
        <v>1.8466232304423706</v>
      </c>
      <c r="F105" s="448">
        <f t="shared" si="2"/>
        <v>1222530.69</v>
      </c>
      <c r="G105" s="448">
        <f>SUM($F$16:F105)</f>
        <v>83272098.769999966</v>
      </c>
      <c r="H105" s="106"/>
      <c r="I105" s="337"/>
    </row>
    <row r="106" spans="1:9" x14ac:dyDescent="0.25">
      <c r="A106" s="135">
        <f t="shared" si="3"/>
        <v>91</v>
      </c>
      <c r="B106" s="137" t="s">
        <v>298</v>
      </c>
      <c r="C106" s="447">
        <v>2006</v>
      </c>
      <c r="D106" s="448">
        <v>682591.51</v>
      </c>
      <c r="E106" s="449">
        <f>'FORM D'!G112</f>
        <v>1.9155447542560213</v>
      </c>
      <c r="F106" s="448">
        <f t="shared" si="2"/>
        <v>1307534.5900000001</v>
      </c>
      <c r="G106" s="448">
        <f>SUM($F$16:F106)</f>
        <v>84579633.35999997</v>
      </c>
      <c r="H106" s="106"/>
      <c r="I106" s="337"/>
    </row>
    <row r="107" spans="1:9" x14ac:dyDescent="0.25">
      <c r="A107" s="135">
        <f t="shared" si="3"/>
        <v>92</v>
      </c>
      <c r="B107" s="137" t="s">
        <v>299</v>
      </c>
      <c r="C107" s="447">
        <v>2006</v>
      </c>
      <c r="D107" s="448">
        <v>680590.55</v>
      </c>
      <c r="E107" s="449">
        <f>'FORM D'!G113</f>
        <v>1.9790735339450083</v>
      </c>
      <c r="F107" s="448">
        <f t="shared" si="2"/>
        <v>1346938.74</v>
      </c>
      <c r="G107" s="448">
        <f>SUM($F$16:F107)</f>
        <v>85926572.099999964</v>
      </c>
      <c r="H107" s="106"/>
      <c r="I107" s="337"/>
    </row>
    <row r="108" spans="1:9" x14ac:dyDescent="0.25">
      <c r="A108" s="135">
        <f t="shared" si="3"/>
        <v>93</v>
      </c>
      <c r="B108" s="137" t="s">
        <v>300</v>
      </c>
      <c r="C108" s="447">
        <v>2006</v>
      </c>
      <c r="D108" s="448">
        <v>654351.37</v>
      </c>
      <c r="E108" s="449">
        <f>'FORM D'!G114</f>
        <v>2.0366265589852732</v>
      </c>
      <c r="F108" s="448">
        <f t="shared" si="2"/>
        <v>1332669.3799999999</v>
      </c>
      <c r="G108" s="448">
        <f>SUM($F$16:F108)</f>
        <v>87259241.479999959</v>
      </c>
      <c r="H108" s="106"/>
      <c r="I108" s="337"/>
    </row>
    <row r="109" spans="1:9" x14ac:dyDescent="0.25">
      <c r="A109" s="135">
        <f t="shared" si="3"/>
        <v>94</v>
      </c>
      <c r="B109" s="137" t="s">
        <v>289</v>
      </c>
      <c r="C109" s="447">
        <v>2006</v>
      </c>
      <c r="D109" s="448">
        <v>676968.38</v>
      </c>
      <c r="E109" s="449">
        <f>'FORM D'!G115</f>
        <v>2.1295319236826762</v>
      </c>
      <c r="F109" s="448">
        <f t="shared" si="2"/>
        <v>1441625.78</v>
      </c>
      <c r="G109" s="448">
        <f>SUM($F$16:F109)</f>
        <v>88700867.259999961</v>
      </c>
      <c r="H109" s="106"/>
      <c r="I109" s="337"/>
    </row>
    <row r="110" spans="1:9" x14ac:dyDescent="0.25">
      <c r="A110" s="135">
        <f t="shared" si="3"/>
        <v>95</v>
      </c>
      <c r="B110" s="137" t="s">
        <v>290</v>
      </c>
      <c r="C110" s="447">
        <v>2006</v>
      </c>
      <c r="D110" s="448">
        <v>675054.99</v>
      </c>
      <c r="E110" s="449">
        <f>'FORM D'!G116</f>
        <v>2.1939898118800834</v>
      </c>
      <c r="F110" s="448">
        <f t="shared" si="2"/>
        <v>1481063.77</v>
      </c>
      <c r="G110" s="448">
        <f>SUM($F$16:F110)</f>
        <v>90181931.029999956</v>
      </c>
      <c r="H110" s="106"/>
      <c r="I110" s="337"/>
    </row>
    <row r="111" spans="1:9" x14ac:dyDescent="0.25">
      <c r="A111" s="135">
        <f t="shared" si="3"/>
        <v>96</v>
      </c>
      <c r="B111" s="137" t="s">
        <v>291</v>
      </c>
      <c r="C111" s="447">
        <v>2006</v>
      </c>
      <c r="D111" s="448">
        <v>692125.5</v>
      </c>
      <c r="E111" s="449">
        <f>'FORM D'!G117</f>
        <v>2.1595290499732576</v>
      </c>
      <c r="F111" s="448">
        <f t="shared" si="2"/>
        <v>1494665.12</v>
      </c>
      <c r="G111" s="448">
        <f>SUM($F$16:F111)</f>
        <v>91676596.149999961</v>
      </c>
      <c r="H111" s="106"/>
      <c r="I111" s="337"/>
    </row>
    <row r="112" spans="1:9" x14ac:dyDescent="0.25">
      <c r="A112" s="135">
        <f t="shared" si="3"/>
        <v>97</v>
      </c>
      <c r="B112" s="137" t="s">
        <v>292</v>
      </c>
      <c r="C112" s="447">
        <v>2006</v>
      </c>
      <c r="D112" s="448">
        <v>672807.81</v>
      </c>
      <c r="E112" s="449">
        <f>'FORM D'!G118</f>
        <v>2.0998444314129827</v>
      </c>
      <c r="F112" s="448">
        <f t="shared" si="2"/>
        <v>1412791.73</v>
      </c>
      <c r="G112" s="448">
        <f>SUM($F$16:F112)</f>
        <v>93089387.879999965</v>
      </c>
      <c r="H112" s="106"/>
      <c r="I112" s="337"/>
    </row>
    <row r="113" spans="1:9" x14ac:dyDescent="0.25">
      <c r="A113" s="135">
        <f t="shared" si="3"/>
        <v>98</v>
      </c>
      <c r="B113" s="137" t="s">
        <v>293</v>
      </c>
      <c r="C113" s="447">
        <v>2006</v>
      </c>
      <c r="D113" s="448">
        <v>659670.52</v>
      </c>
      <c r="E113" s="449">
        <f>'FORM D'!G119</f>
        <v>2.0942512387120957</v>
      </c>
      <c r="F113" s="448">
        <f t="shared" si="2"/>
        <v>1381515.8</v>
      </c>
      <c r="G113" s="448">
        <f>SUM($F$16:F113)</f>
        <v>94470903.679999962</v>
      </c>
      <c r="H113" s="106"/>
      <c r="I113" s="337"/>
    </row>
    <row r="114" spans="1:9" x14ac:dyDescent="0.25">
      <c r="A114" s="135">
        <f t="shared" si="3"/>
        <v>99</v>
      </c>
      <c r="B114" s="137" t="s">
        <v>294</v>
      </c>
      <c r="C114" s="447">
        <v>2006</v>
      </c>
      <c r="D114" s="448">
        <v>662435.55000000005</v>
      </c>
      <c r="E114" s="449">
        <f>'FORM D'!G120</f>
        <v>2.0338560889784847</v>
      </c>
      <c r="F114" s="448">
        <f t="shared" si="2"/>
        <v>1347298.58</v>
      </c>
      <c r="G114" s="448">
        <f>SUM($F$16:F114)</f>
        <v>95818202.259999961</v>
      </c>
      <c r="H114" s="106"/>
      <c r="I114" s="337"/>
    </row>
    <row r="115" spans="1:9" x14ac:dyDescent="0.25">
      <c r="A115" s="135">
        <f t="shared" si="3"/>
        <v>100</v>
      </c>
      <c r="B115" s="137" t="s">
        <v>295</v>
      </c>
      <c r="C115" s="447">
        <v>2007</v>
      </c>
      <c r="D115" s="448">
        <v>678075.42</v>
      </c>
      <c r="E115" s="449">
        <f>'FORM D'!G121</f>
        <v>2.0125401537783865</v>
      </c>
      <c r="F115" s="448">
        <f t="shared" si="2"/>
        <v>1364654.01</v>
      </c>
      <c r="G115" s="448">
        <f>SUM($F$16:F115)</f>
        <v>97182856.269999966</v>
      </c>
      <c r="H115" s="106"/>
      <c r="I115" s="337"/>
    </row>
    <row r="116" spans="1:9" x14ac:dyDescent="0.25">
      <c r="A116" s="135">
        <f t="shared" si="3"/>
        <v>101</v>
      </c>
      <c r="B116" s="137" t="s">
        <v>296</v>
      </c>
      <c r="C116" s="447">
        <v>2007</v>
      </c>
      <c r="D116" s="448">
        <v>660736.27</v>
      </c>
      <c r="E116" s="449">
        <f>'FORM D'!G122</f>
        <v>1.9898304525927819</v>
      </c>
      <c r="F116" s="448">
        <f t="shared" si="2"/>
        <v>1314753.1499999999</v>
      </c>
      <c r="G116" s="448">
        <f>SUM($F$16:F116)</f>
        <v>98497609.419999972</v>
      </c>
      <c r="H116" s="106"/>
      <c r="I116" s="337"/>
    </row>
    <row r="117" spans="1:9" x14ac:dyDescent="0.25">
      <c r="A117" s="135">
        <f t="shared" si="3"/>
        <v>102</v>
      </c>
      <c r="B117" s="137" t="s">
        <v>297</v>
      </c>
      <c r="C117" s="447">
        <v>2007</v>
      </c>
      <c r="D117" s="448">
        <v>673751.20000000007</v>
      </c>
      <c r="E117" s="449">
        <f>'FORM D'!G123</f>
        <v>2.0090147942728702</v>
      </c>
      <c r="F117" s="448">
        <f t="shared" si="2"/>
        <v>1353576.13</v>
      </c>
      <c r="G117" s="448">
        <f>SUM($F$16:F117)</f>
        <v>99851185.549999967</v>
      </c>
      <c r="H117" s="106"/>
      <c r="I117" s="337"/>
    </row>
    <row r="118" spans="1:9" x14ac:dyDescent="0.25">
      <c r="A118" s="135">
        <f t="shared" si="3"/>
        <v>103</v>
      </c>
      <c r="B118" s="137" t="s">
        <v>298</v>
      </c>
      <c r="C118" s="447">
        <v>2007</v>
      </c>
      <c r="D118" s="448">
        <v>684357.99</v>
      </c>
      <c r="E118" s="449">
        <f>'FORM D'!G124</f>
        <v>2.0619493666864468</v>
      </c>
      <c r="F118" s="448">
        <f t="shared" si="2"/>
        <v>1411111.52</v>
      </c>
      <c r="G118" s="448">
        <f>SUM($F$16:F118)</f>
        <v>101262297.06999996</v>
      </c>
      <c r="H118" s="106"/>
      <c r="I118" s="337"/>
    </row>
    <row r="119" spans="1:9" x14ac:dyDescent="0.25">
      <c r="A119" s="135">
        <f t="shared" si="3"/>
        <v>104</v>
      </c>
      <c r="B119" s="137" t="s">
        <v>299</v>
      </c>
      <c r="C119" s="447">
        <v>2007</v>
      </c>
      <c r="D119" s="448">
        <v>675989.26</v>
      </c>
      <c r="E119" s="449">
        <f>'FORM D'!G125</f>
        <v>2.1206957091359948</v>
      </c>
      <c r="F119" s="448">
        <f t="shared" si="2"/>
        <v>1433567.52</v>
      </c>
      <c r="G119" s="448">
        <f>SUM($F$16:F119)</f>
        <v>102695864.58999996</v>
      </c>
      <c r="H119" s="106"/>
      <c r="I119" s="337"/>
    </row>
    <row r="120" spans="1:9" x14ac:dyDescent="0.25">
      <c r="A120" s="135">
        <f t="shared" si="3"/>
        <v>105</v>
      </c>
      <c r="B120" s="137" t="s">
        <v>300</v>
      </c>
      <c r="C120" s="447">
        <v>2007</v>
      </c>
      <c r="D120" s="448">
        <v>649867.9</v>
      </c>
      <c r="E120" s="449">
        <f>'FORM D'!G126</f>
        <v>2.1327747390827168</v>
      </c>
      <c r="F120" s="448">
        <f t="shared" si="2"/>
        <v>1386021.84</v>
      </c>
      <c r="G120" s="448">
        <f>SUM($F$16:F120)</f>
        <v>104081886.42999996</v>
      </c>
      <c r="H120" s="106"/>
      <c r="I120" s="337"/>
    </row>
    <row r="121" spans="1:9" x14ac:dyDescent="0.25">
      <c r="A121" s="135">
        <f t="shared" si="3"/>
        <v>106</v>
      </c>
      <c r="B121" s="137" t="s">
        <v>289</v>
      </c>
      <c r="C121" s="447">
        <v>2007</v>
      </c>
      <c r="D121" s="448">
        <v>677265.89</v>
      </c>
      <c r="E121" s="449">
        <f>'FORM D'!G127</f>
        <v>2.1984910769826609</v>
      </c>
      <c r="F121" s="448">
        <f t="shared" si="2"/>
        <v>1488963.02</v>
      </c>
      <c r="G121" s="448">
        <f>SUM($F$16:F121)</f>
        <v>105570849.44999996</v>
      </c>
      <c r="H121" s="106"/>
      <c r="I121" s="337"/>
    </row>
    <row r="122" spans="1:9" x14ac:dyDescent="0.25">
      <c r="A122" s="135">
        <f t="shared" si="3"/>
        <v>107</v>
      </c>
      <c r="B122" s="137" t="s">
        <v>290</v>
      </c>
      <c r="C122" s="447">
        <v>2007</v>
      </c>
      <c r="D122" s="448">
        <v>678991.04</v>
      </c>
      <c r="E122" s="449">
        <f>'FORM D'!G128</f>
        <v>2.2193788186691448</v>
      </c>
      <c r="F122" s="448">
        <f t="shared" si="2"/>
        <v>1506938.33</v>
      </c>
      <c r="G122" s="448">
        <f>SUM($F$16:F122)</f>
        <v>107077787.77999996</v>
      </c>
      <c r="H122" s="106"/>
      <c r="I122" s="337"/>
    </row>
    <row r="123" spans="1:9" x14ac:dyDescent="0.25">
      <c r="A123" s="135">
        <f t="shared" si="3"/>
        <v>108</v>
      </c>
      <c r="B123" s="137" t="s">
        <v>291</v>
      </c>
      <c r="C123" s="447">
        <v>2007</v>
      </c>
      <c r="D123" s="448">
        <v>607219.07000000007</v>
      </c>
      <c r="E123" s="449">
        <f>'FORM D'!G129</f>
        <v>2.2481553311892775</v>
      </c>
      <c r="F123" s="448">
        <f t="shared" si="2"/>
        <v>1365122.79</v>
      </c>
      <c r="G123" s="448">
        <f>SUM($F$16:F123)</f>
        <v>108442910.56999996</v>
      </c>
      <c r="H123" s="106"/>
      <c r="I123" s="337"/>
    </row>
    <row r="124" spans="1:9" x14ac:dyDescent="0.25">
      <c r="A124" s="135">
        <f t="shared" si="3"/>
        <v>109</v>
      </c>
      <c r="B124" s="137" t="s">
        <v>292</v>
      </c>
      <c r="C124" s="447">
        <v>2007</v>
      </c>
      <c r="D124" s="448">
        <v>635228.88</v>
      </c>
      <c r="E124" s="449">
        <f>'FORM D'!G130</f>
        <v>2.2954056542161614</v>
      </c>
      <c r="F124" s="448">
        <f t="shared" si="2"/>
        <v>1458107.96</v>
      </c>
      <c r="G124" s="448">
        <f>SUM($F$16:F124)</f>
        <v>109901018.52999996</v>
      </c>
      <c r="H124" s="106"/>
      <c r="I124" s="337"/>
    </row>
    <row r="125" spans="1:9" x14ac:dyDescent="0.25">
      <c r="A125" s="135">
        <f t="shared" si="3"/>
        <v>110</v>
      </c>
      <c r="B125" s="137" t="s">
        <v>293</v>
      </c>
      <c r="C125" s="447">
        <v>2007</v>
      </c>
      <c r="D125" s="448">
        <v>659086.39</v>
      </c>
      <c r="E125" s="449">
        <f>'FORM D'!G131</f>
        <v>2.2790634372294196</v>
      </c>
      <c r="F125" s="448">
        <f t="shared" si="2"/>
        <v>1502099.69</v>
      </c>
      <c r="G125" s="448">
        <f>SUM($F$16:F125)</f>
        <v>111403118.21999995</v>
      </c>
      <c r="H125" s="106"/>
      <c r="I125" s="337"/>
    </row>
    <row r="126" spans="1:9" x14ac:dyDescent="0.25">
      <c r="A126" s="135">
        <f t="shared" si="3"/>
        <v>111</v>
      </c>
      <c r="B126" s="137" t="s">
        <v>294</v>
      </c>
      <c r="C126" s="447">
        <v>2007</v>
      </c>
      <c r="D126" s="448">
        <v>666673.64</v>
      </c>
      <c r="E126" s="449">
        <f>'FORM D'!G132</f>
        <v>2.3828009885365633</v>
      </c>
      <c r="F126" s="448">
        <f t="shared" si="2"/>
        <v>1588550.61</v>
      </c>
      <c r="G126" s="448">
        <f>SUM($F$16:F126)</f>
        <v>112991668.82999995</v>
      </c>
      <c r="H126" s="106"/>
      <c r="I126" s="337"/>
    </row>
    <row r="127" spans="1:9" x14ac:dyDescent="0.25">
      <c r="A127" s="135">
        <f t="shared" si="3"/>
        <v>112</v>
      </c>
      <c r="B127" s="137" t="s">
        <v>295</v>
      </c>
      <c r="C127" s="447">
        <v>2008</v>
      </c>
      <c r="D127" s="448">
        <v>652322.39</v>
      </c>
      <c r="E127" s="449">
        <f>'FORM D'!G133</f>
        <v>2.3913273626166029</v>
      </c>
      <c r="F127" s="448">
        <f t="shared" si="2"/>
        <v>1559916.38</v>
      </c>
      <c r="G127" s="448">
        <f>SUM($F$16:F127)</f>
        <v>114551585.20999995</v>
      </c>
      <c r="H127" s="106"/>
      <c r="I127" s="337"/>
    </row>
    <row r="128" spans="1:9" x14ac:dyDescent="0.25">
      <c r="A128" s="135">
        <f t="shared" si="3"/>
        <v>113</v>
      </c>
      <c r="B128" s="137" t="s">
        <v>296</v>
      </c>
      <c r="C128" s="447">
        <v>2008</v>
      </c>
      <c r="D128" s="448">
        <v>687255.14</v>
      </c>
      <c r="E128" s="449">
        <f>'FORM D'!G134</f>
        <v>2.4666617957491423</v>
      </c>
      <c r="F128" s="448">
        <f t="shared" si="2"/>
        <v>1695226</v>
      </c>
      <c r="G128" s="448">
        <f>SUM($F$16:F128)</f>
        <v>116246811.20999995</v>
      </c>
      <c r="H128" s="106"/>
      <c r="I128" s="337"/>
    </row>
    <row r="129" spans="1:9" x14ac:dyDescent="0.25">
      <c r="A129" s="135">
        <f t="shared" si="3"/>
        <v>114</v>
      </c>
      <c r="B129" s="137" t="s">
        <v>297</v>
      </c>
      <c r="C129" s="447">
        <v>2008</v>
      </c>
      <c r="D129" s="448">
        <v>678538.16</v>
      </c>
      <c r="E129" s="449">
        <f>'FORM D'!G135</f>
        <v>2.6300839656165609</v>
      </c>
      <c r="F129" s="448">
        <f t="shared" si="2"/>
        <v>1784612.33</v>
      </c>
      <c r="G129" s="448">
        <f>SUM($F$16:F129)</f>
        <v>118031423.53999995</v>
      </c>
      <c r="H129" s="106"/>
      <c r="I129" s="337"/>
    </row>
    <row r="130" spans="1:9" x14ac:dyDescent="0.25">
      <c r="A130" s="135">
        <f t="shared" si="3"/>
        <v>115</v>
      </c>
      <c r="B130" s="137" t="s">
        <v>298</v>
      </c>
      <c r="C130" s="447">
        <v>2008</v>
      </c>
      <c r="D130" s="448">
        <v>647460.85</v>
      </c>
      <c r="E130" s="449">
        <f>'FORM D'!G136</f>
        <v>2.8337197628650097</v>
      </c>
      <c r="F130" s="448">
        <f t="shared" si="2"/>
        <v>1834722.61</v>
      </c>
      <c r="G130" s="448">
        <f>SUM($F$16:F130)</f>
        <v>119866146.14999995</v>
      </c>
      <c r="H130" s="106"/>
      <c r="I130" s="337"/>
    </row>
    <row r="131" spans="1:9" x14ac:dyDescent="0.25">
      <c r="A131" s="135">
        <f t="shared" si="3"/>
        <v>116</v>
      </c>
      <c r="B131" s="137" t="s">
        <v>299</v>
      </c>
      <c r="C131" s="447">
        <v>2008</v>
      </c>
      <c r="D131" s="448">
        <v>639962.47000000009</v>
      </c>
      <c r="E131" s="449">
        <f>'FORM D'!G137</f>
        <v>3.0199516517603917</v>
      </c>
      <c r="F131" s="448">
        <f t="shared" si="2"/>
        <v>1932655.72</v>
      </c>
      <c r="G131" s="448">
        <f>SUM($F$16:F131)</f>
        <v>121798801.86999995</v>
      </c>
      <c r="H131" s="106"/>
      <c r="I131" s="337"/>
    </row>
    <row r="132" spans="1:9" x14ac:dyDescent="0.25">
      <c r="A132" s="135">
        <f t="shared" si="3"/>
        <v>117</v>
      </c>
      <c r="B132" s="137" t="s">
        <v>300</v>
      </c>
      <c r="C132" s="447">
        <v>2008</v>
      </c>
      <c r="D132" s="448">
        <v>671055.54</v>
      </c>
      <c r="E132" s="449">
        <f>'FORM D'!G138</f>
        <v>3.1898050661513122</v>
      </c>
      <c r="F132" s="448">
        <f t="shared" si="2"/>
        <v>2140536.36</v>
      </c>
      <c r="G132" s="448">
        <f>SUM($F$16:F132)</f>
        <v>123939338.22999994</v>
      </c>
      <c r="H132" s="106"/>
      <c r="I132" s="337"/>
    </row>
    <row r="133" spans="1:9" x14ac:dyDescent="0.25">
      <c r="A133" s="135">
        <f t="shared" si="3"/>
        <v>118</v>
      </c>
      <c r="B133" s="137" t="s">
        <v>289</v>
      </c>
      <c r="C133" s="447">
        <v>2008</v>
      </c>
      <c r="D133" s="448">
        <v>638178.07000000007</v>
      </c>
      <c r="E133" s="449">
        <f>'FORM D'!G139</f>
        <v>3.2146642111711201</v>
      </c>
      <c r="F133" s="448">
        <f t="shared" si="2"/>
        <v>2051528.2</v>
      </c>
      <c r="G133" s="448">
        <f>SUM($F$16:F133)</f>
        <v>125990866.42999995</v>
      </c>
      <c r="H133" s="106"/>
      <c r="I133" s="337"/>
    </row>
    <row r="134" spans="1:9" x14ac:dyDescent="0.25">
      <c r="A134" s="135">
        <f t="shared" si="3"/>
        <v>119</v>
      </c>
      <c r="B134" s="137" t="s">
        <v>290</v>
      </c>
      <c r="C134" s="447">
        <v>2008</v>
      </c>
      <c r="D134" s="448">
        <v>646725.33000000007</v>
      </c>
      <c r="E134" s="449">
        <f>'FORM D'!G140</f>
        <v>2.9056285758897245</v>
      </c>
      <c r="F134" s="448">
        <f t="shared" si="2"/>
        <v>1879143.6</v>
      </c>
      <c r="G134" s="448">
        <f>SUM($F$16:F134)</f>
        <v>127870010.02999994</v>
      </c>
      <c r="H134" s="106"/>
      <c r="I134" s="337"/>
    </row>
    <row r="135" spans="1:9" x14ac:dyDescent="0.25">
      <c r="A135" s="135">
        <f t="shared" si="3"/>
        <v>120</v>
      </c>
      <c r="B135" s="137" t="s">
        <v>291</v>
      </c>
      <c r="C135" s="447">
        <v>2008</v>
      </c>
      <c r="D135" s="448">
        <v>641309.71000000008</v>
      </c>
      <c r="E135" s="449">
        <f>'FORM D'!G141</f>
        <v>2.8146805857026402</v>
      </c>
      <c r="F135" s="448">
        <f t="shared" si="2"/>
        <v>1805081.99</v>
      </c>
      <c r="G135" s="448">
        <f>SUM($F$16:F135)</f>
        <v>129675092.01999994</v>
      </c>
      <c r="H135" s="106"/>
      <c r="I135" s="337"/>
    </row>
    <row r="136" spans="1:9" x14ac:dyDescent="0.25">
      <c r="A136" s="135">
        <f t="shared" si="3"/>
        <v>121</v>
      </c>
      <c r="B136" s="137" t="s">
        <v>292</v>
      </c>
      <c r="C136" s="447">
        <v>2008</v>
      </c>
      <c r="D136" s="448">
        <v>630404.87</v>
      </c>
      <c r="E136" s="449">
        <f>'FORM D'!G142</f>
        <v>2.7546407015556968</v>
      </c>
      <c r="F136" s="448">
        <f t="shared" si="2"/>
        <v>1736538.91</v>
      </c>
      <c r="G136" s="448">
        <f>SUM($F$16:F136)</f>
        <v>131411630.92999993</v>
      </c>
      <c r="H136" s="106"/>
      <c r="I136" s="337"/>
    </row>
    <row r="137" spans="1:9" x14ac:dyDescent="0.25">
      <c r="A137" s="135">
        <f t="shared" si="3"/>
        <v>122</v>
      </c>
      <c r="B137" s="137" t="s">
        <v>293</v>
      </c>
      <c r="C137" s="447">
        <v>2008</v>
      </c>
      <c r="D137" s="448">
        <v>682205.55</v>
      </c>
      <c r="E137" s="449">
        <f>'FORM D'!G143</f>
        <v>2.6274372863238327</v>
      </c>
      <c r="F137" s="448">
        <f t="shared" si="2"/>
        <v>1792452.3</v>
      </c>
      <c r="G137" s="448">
        <f>SUM($F$16:F137)</f>
        <v>133204083.22999993</v>
      </c>
      <c r="H137" s="106"/>
      <c r="I137" s="337"/>
    </row>
    <row r="138" spans="1:9" x14ac:dyDescent="0.25">
      <c r="A138" s="135">
        <f t="shared" si="3"/>
        <v>123</v>
      </c>
      <c r="B138" s="137" t="s">
        <v>294</v>
      </c>
      <c r="C138" s="447">
        <v>2008</v>
      </c>
      <c r="D138" s="448">
        <v>680714.05</v>
      </c>
      <c r="E138" s="449">
        <f>'FORM D'!G144</f>
        <v>2.4053962946561445</v>
      </c>
      <c r="F138" s="448">
        <f t="shared" si="2"/>
        <v>1637387.05</v>
      </c>
      <c r="G138" s="448">
        <f>SUM($F$16:F138)</f>
        <v>134841470.27999994</v>
      </c>
      <c r="H138" s="106"/>
      <c r="I138" s="337"/>
    </row>
    <row r="139" spans="1:9" x14ac:dyDescent="0.25">
      <c r="A139" s="135">
        <f t="shared" si="3"/>
        <v>124</v>
      </c>
      <c r="B139" s="137" t="s">
        <v>295</v>
      </c>
      <c r="C139" s="447">
        <v>2009</v>
      </c>
      <c r="D139" s="448">
        <v>664498.71000000008</v>
      </c>
      <c r="E139" s="449">
        <f>'FORM D'!G145</f>
        <v>2.4299096201362573</v>
      </c>
      <c r="F139" s="448">
        <f t="shared" si="2"/>
        <v>1614671.81</v>
      </c>
      <c r="G139" s="448">
        <f>SUM($F$16:F139)</f>
        <v>136456142.08999994</v>
      </c>
      <c r="H139" s="106"/>
      <c r="I139" s="337"/>
    </row>
    <row r="140" spans="1:9" x14ac:dyDescent="0.25">
      <c r="A140" s="135">
        <f t="shared" si="3"/>
        <v>125</v>
      </c>
      <c r="B140" s="137" t="s">
        <v>296</v>
      </c>
      <c r="C140" s="447">
        <v>2009</v>
      </c>
      <c r="D140" s="448">
        <v>631623.89</v>
      </c>
      <c r="E140" s="449">
        <f>'FORM D'!G146</f>
        <v>2.4164184889994154</v>
      </c>
      <c r="F140" s="448">
        <f t="shared" si="2"/>
        <v>1526267.65</v>
      </c>
      <c r="G140" s="448">
        <f>SUM($F$16:F140)</f>
        <v>137982409.73999995</v>
      </c>
      <c r="H140" s="106"/>
      <c r="I140" s="337"/>
    </row>
    <row r="141" spans="1:9" x14ac:dyDescent="0.25">
      <c r="A141" s="135">
        <f t="shared" si="3"/>
        <v>126</v>
      </c>
      <c r="B141" s="137" t="s">
        <v>297</v>
      </c>
      <c r="C141" s="447">
        <v>2009</v>
      </c>
      <c r="D141" s="448">
        <v>658811.07000000007</v>
      </c>
      <c r="E141" s="449">
        <f>'FORM D'!G147</f>
        <v>2.3531812145724578</v>
      </c>
      <c r="F141" s="448">
        <f t="shared" si="2"/>
        <v>1550301.83</v>
      </c>
      <c r="G141" s="448">
        <f>SUM($F$16:F141)</f>
        <v>139532711.56999996</v>
      </c>
      <c r="H141" s="106"/>
      <c r="I141" s="337"/>
    </row>
    <row r="142" spans="1:9" x14ac:dyDescent="0.25">
      <c r="A142" s="135">
        <f t="shared" si="3"/>
        <v>127</v>
      </c>
      <c r="B142" s="137" t="s">
        <v>298</v>
      </c>
      <c r="C142" s="447">
        <v>2009</v>
      </c>
      <c r="D142" s="448">
        <v>680514.68</v>
      </c>
      <c r="E142" s="449">
        <f>'FORM D'!G148</f>
        <v>2.3414574502124035</v>
      </c>
      <c r="F142" s="448">
        <f t="shared" si="2"/>
        <v>1593396.17</v>
      </c>
      <c r="G142" s="448">
        <f>SUM($F$16:F142)</f>
        <v>141126107.73999995</v>
      </c>
      <c r="H142" s="106"/>
      <c r="I142" s="337"/>
    </row>
    <row r="143" spans="1:9" x14ac:dyDescent="0.25">
      <c r="A143" s="135">
        <f t="shared" si="3"/>
        <v>128</v>
      </c>
      <c r="B143" s="137" t="s">
        <v>299</v>
      </c>
      <c r="C143" s="447">
        <v>2009</v>
      </c>
      <c r="D143" s="448">
        <v>653236.02</v>
      </c>
      <c r="E143" s="449">
        <f>'FORM D'!G149</f>
        <v>2.3523977554721758</v>
      </c>
      <c r="F143" s="448">
        <f t="shared" si="2"/>
        <v>1536670.95</v>
      </c>
      <c r="G143" s="448">
        <f>SUM($F$16:F143)</f>
        <v>142662778.68999994</v>
      </c>
      <c r="H143" s="106"/>
      <c r="I143" s="337"/>
    </row>
    <row r="144" spans="1:9" x14ac:dyDescent="0.25">
      <c r="A144" s="135">
        <f t="shared" si="3"/>
        <v>129</v>
      </c>
      <c r="B144" s="137" t="s">
        <v>300</v>
      </c>
      <c r="C144" s="447">
        <v>2009</v>
      </c>
      <c r="D144" s="448">
        <v>641261.35</v>
      </c>
      <c r="E144" s="449">
        <f>'FORM D'!G150</f>
        <v>2.3726478939122684</v>
      </c>
      <c r="F144" s="448">
        <f t="shared" si="2"/>
        <v>1521487.39</v>
      </c>
      <c r="G144" s="448">
        <f>SUM($F$16:F144)</f>
        <v>144184266.07999992</v>
      </c>
      <c r="H144" s="106"/>
      <c r="I144" s="337"/>
    </row>
    <row r="145" spans="1:9" x14ac:dyDescent="0.25">
      <c r="A145" s="135">
        <f t="shared" si="3"/>
        <v>130</v>
      </c>
      <c r="B145" s="137" t="s">
        <v>289</v>
      </c>
      <c r="C145" s="447">
        <v>2009</v>
      </c>
      <c r="D145" s="448">
        <v>636475.82000000007</v>
      </c>
      <c r="E145" s="449">
        <f>'FORM D'!G151</f>
        <v>2.4527066997165354</v>
      </c>
      <c r="F145" s="448">
        <f t="shared" si="2"/>
        <v>1561088.51</v>
      </c>
      <c r="G145" s="448">
        <f>SUM($F$16:F145)</f>
        <v>145745354.58999991</v>
      </c>
      <c r="H145" s="106"/>
      <c r="I145" s="337"/>
    </row>
    <row r="146" spans="1:9" x14ac:dyDescent="0.25">
      <c r="A146" s="135">
        <f t="shared" si="3"/>
        <v>131</v>
      </c>
      <c r="B146" s="137" t="s">
        <v>290</v>
      </c>
      <c r="C146" s="447">
        <v>2009</v>
      </c>
      <c r="D146" s="448">
        <v>645118.70000000007</v>
      </c>
      <c r="E146" s="449">
        <f>'FORM D'!G152</f>
        <v>2.4365922276671839</v>
      </c>
      <c r="F146" s="448">
        <f t="shared" si="2"/>
        <v>1571891.21</v>
      </c>
      <c r="G146" s="448">
        <f>SUM($F$16:F146)</f>
        <v>147317245.79999992</v>
      </c>
      <c r="H146" s="106"/>
      <c r="I146" s="337"/>
    </row>
    <row r="147" spans="1:9" x14ac:dyDescent="0.25">
      <c r="A147" s="135">
        <f t="shared" si="3"/>
        <v>132</v>
      </c>
      <c r="B147" s="137" t="s">
        <v>291</v>
      </c>
      <c r="C147" s="447">
        <v>2009</v>
      </c>
      <c r="D147" s="448">
        <v>641565.15</v>
      </c>
      <c r="E147" s="449">
        <f>'FORM D'!G153</f>
        <v>2.4738951142673553</v>
      </c>
      <c r="F147" s="448">
        <f t="shared" si="2"/>
        <v>1587164.89</v>
      </c>
      <c r="G147" s="448">
        <f>SUM($F$16:F147)</f>
        <v>148904410.68999991</v>
      </c>
      <c r="H147" s="106"/>
      <c r="I147" s="337"/>
    </row>
    <row r="148" spans="1:9" x14ac:dyDescent="0.25">
      <c r="A148" s="135">
        <f t="shared" si="3"/>
        <v>133</v>
      </c>
      <c r="B148" s="137" t="s">
        <v>292</v>
      </c>
      <c r="C148" s="447">
        <v>2009</v>
      </c>
      <c r="D148" s="448">
        <v>666989.92000000004</v>
      </c>
      <c r="E148" s="449">
        <f>'FORM D'!G154</f>
        <v>2.4209605418537787</v>
      </c>
      <c r="F148" s="448">
        <f t="shared" si="2"/>
        <v>1614756.28</v>
      </c>
      <c r="G148" s="448">
        <f>SUM($F$16:F148)</f>
        <v>150519166.96999991</v>
      </c>
      <c r="H148" s="106"/>
      <c r="I148" s="337"/>
    </row>
    <row r="149" spans="1:9" x14ac:dyDescent="0.25">
      <c r="A149" s="135">
        <f t="shared" si="3"/>
        <v>134</v>
      </c>
      <c r="B149" s="137" t="s">
        <v>293</v>
      </c>
      <c r="C149" s="447">
        <v>2009</v>
      </c>
      <c r="D149" s="448">
        <v>639024.4</v>
      </c>
      <c r="E149" s="449">
        <f>'FORM D'!G155</f>
        <v>2.436947493253852</v>
      </c>
      <c r="F149" s="448">
        <f t="shared" si="2"/>
        <v>1557268.91</v>
      </c>
      <c r="G149" s="448">
        <f>SUM($F$16:F149)</f>
        <v>152076435.87999991</v>
      </c>
      <c r="H149" s="106"/>
      <c r="I149" s="337"/>
    </row>
    <row r="150" spans="1:9" x14ac:dyDescent="0.25">
      <c r="A150" s="135">
        <f t="shared" si="3"/>
        <v>135</v>
      </c>
      <c r="B150" s="137" t="s">
        <v>294</v>
      </c>
      <c r="C150" s="447">
        <v>2009</v>
      </c>
      <c r="D150" s="448">
        <v>686132.52</v>
      </c>
      <c r="E150" s="449">
        <f>'FORM D'!G156</f>
        <v>2.4838425506940682</v>
      </c>
      <c r="F150" s="448">
        <f t="shared" si="2"/>
        <v>1704245.15</v>
      </c>
      <c r="G150" s="448">
        <f>SUM($F$16:F150)</f>
        <v>153780681.02999991</v>
      </c>
      <c r="H150" s="106"/>
      <c r="I150" s="337"/>
    </row>
    <row r="151" spans="1:9" x14ac:dyDescent="0.25">
      <c r="A151" s="135">
        <f t="shared" si="3"/>
        <v>136</v>
      </c>
      <c r="B151" s="137" t="s">
        <v>295</v>
      </c>
      <c r="C151" s="447">
        <v>2010</v>
      </c>
      <c r="D151" s="448">
        <v>645122.85</v>
      </c>
      <c r="E151" s="449">
        <f>'FORM D'!G157</f>
        <v>2.4628037335895616</v>
      </c>
      <c r="F151" s="448">
        <f t="shared" si="2"/>
        <v>1588810.96</v>
      </c>
      <c r="G151" s="448">
        <f>SUM($F$16:F151)</f>
        <v>155369491.98999992</v>
      </c>
      <c r="H151" s="106"/>
      <c r="I151" s="337"/>
    </row>
    <row r="152" spans="1:9" x14ac:dyDescent="0.25">
      <c r="A152" s="135">
        <f t="shared" si="3"/>
        <v>137</v>
      </c>
      <c r="B152" s="137" t="s">
        <v>296</v>
      </c>
      <c r="C152" s="447">
        <v>2010</v>
      </c>
      <c r="D152" s="448">
        <v>657360.6</v>
      </c>
      <c r="E152" s="449">
        <f>'FORM D'!G158</f>
        <v>2.5083687853689103</v>
      </c>
      <c r="F152" s="448">
        <f t="shared" si="2"/>
        <v>1648902.81</v>
      </c>
      <c r="G152" s="448">
        <f>SUM($F$16:F152)</f>
        <v>157018394.79999992</v>
      </c>
      <c r="H152" s="106"/>
      <c r="I152" s="337"/>
    </row>
    <row r="153" spans="1:9" x14ac:dyDescent="0.25">
      <c r="A153" s="135">
        <f t="shared" si="3"/>
        <v>138</v>
      </c>
      <c r="B153" s="137" t="s">
        <v>297</v>
      </c>
      <c r="C153" s="447">
        <v>2010</v>
      </c>
      <c r="D153" s="448">
        <v>670106.46000000008</v>
      </c>
      <c r="E153" s="449">
        <f>'FORM D'!G159</f>
        <v>2.5655665448225062</v>
      </c>
      <c r="F153" s="448">
        <f t="shared" si="2"/>
        <v>1719202.72</v>
      </c>
      <c r="G153" s="448">
        <f>SUM($F$16:F153)</f>
        <v>158737597.51999992</v>
      </c>
      <c r="H153" s="106"/>
      <c r="I153" s="337"/>
    </row>
    <row r="154" spans="1:9" x14ac:dyDescent="0.25">
      <c r="A154" s="135">
        <f t="shared" si="3"/>
        <v>139</v>
      </c>
      <c r="B154" s="137" t="s">
        <v>298</v>
      </c>
      <c r="C154" s="447">
        <v>2010</v>
      </c>
      <c r="D154" s="448">
        <v>638633.07000000007</v>
      </c>
      <c r="E154" s="449">
        <f>'FORM D'!G160</f>
        <v>2.5655665448225062</v>
      </c>
      <c r="F154" s="448">
        <f t="shared" si="2"/>
        <v>1638455.64</v>
      </c>
      <c r="G154" s="448">
        <f>SUM($F$16:F154)</f>
        <v>160376053.15999991</v>
      </c>
      <c r="H154" s="106"/>
      <c r="I154" s="337"/>
    </row>
    <row r="155" spans="1:9" x14ac:dyDescent="0.25">
      <c r="A155" s="135">
        <f t="shared" si="3"/>
        <v>140</v>
      </c>
      <c r="B155" s="137" t="s">
        <v>299</v>
      </c>
      <c r="C155" s="447">
        <v>2010</v>
      </c>
      <c r="D155" s="448">
        <v>657703.61</v>
      </c>
      <c r="E155" s="449">
        <f>'FORM D'!G161</f>
        <v>2.603698315642986</v>
      </c>
      <c r="F155" s="448">
        <f t="shared" si="2"/>
        <v>1712461.78</v>
      </c>
      <c r="G155" s="448">
        <f>SUM($F$16:F155)</f>
        <v>162088514.93999991</v>
      </c>
      <c r="H155" s="106"/>
      <c r="I155" s="337"/>
    </row>
    <row r="156" spans="1:9" x14ac:dyDescent="0.25">
      <c r="A156" s="135">
        <f t="shared" si="3"/>
        <v>141</v>
      </c>
      <c r="B156" s="137" t="s">
        <v>300</v>
      </c>
      <c r="C156" s="447">
        <v>2010</v>
      </c>
      <c r="D156" s="448">
        <v>649303.38</v>
      </c>
      <c r="E156" s="449">
        <f>'FORM D'!G162</f>
        <v>2.5859715002730441</v>
      </c>
      <c r="F156" s="448">
        <f t="shared" si="2"/>
        <v>1679080.04</v>
      </c>
      <c r="G156" s="448">
        <f>SUM($F$16:F156)</f>
        <v>163767594.9799999</v>
      </c>
      <c r="H156" s="106"/>
      <c r="I156" s="337"/>
    </row>
    <row r="157" spans="1:9" x14ac:dyDescent="0.25">
      <c r="A157" s="135">
        <f t="shared" si="3"/>
        <v>142</v>
      </c>
      <c r="B157" s="137" t="s">
        <v>289</v>
      </c>
      <c r="C157" s="447">
        <v>2010</v>
      </c>
      <c r="D157" s="448">
        <v>687375.11</v>
      </c>
      <c r="E157" s="449">
        <f>'FORM D'!G163</f>
        <v>2.6179618974913659</v>
      </c>
      <c r="F157" s="448">
        <f t="shared" si="2"/>
        <v>1799521.85</v>
      </c>
      <c r="G157" s="448">
        <f>SUM($F$16:F157)</f>
        <v>165567116.82999989</v>
      </c>
      <c r="H157" s="106"/>
      <c r="I157" s="337"/>
    </row>
    <row r="158" spans="1:9" x14ac:dyDescent="0.25">
      <c r="A158" s="135">
        <f t="shared" si="3"/>
        <v>143</v>
      </c>
      <c r="B158" s="137" t="s">
        <v>290</v>
      </c>
      <c r="C158" s="447">
        <v>2010</v>
      </c>
      <c r="D158" s="448">
        <v>653024.65</v>
      </c>
      <c r="E158" s="449">
        <f>'FORM D'!G164</f>
        <v>2.6084334869759607</v>
      </c>
      <c r="F158" s="448">
        <f t="shared" si="2"/>
        <v>1703371.36</v>
      </c>
      <c r="G158" s="448">
        <f>SUM($F$16:F158)</f>
        <v>167270488.18999991</v>
      </c>
      <c r="H158" s="106"/>
      <c r="I158" s="337"/>
    </row>
    <row r="159" spans="1:9" x14ac:dyDescent="0.25">
      <c r="A159" s="135">
        <f t="shared" si="3"/>
        <v>144</v>
      </c>
      <c r="B159" s="137" t="s">
        <v>291</v>
      </c>
      <c r="C159" s="447">
        <v>2010</v>
      </c>
      <c r="D159" s="448">
        <v>650184.22000000009</v>
      </c>
      <c r="E159" s="449">
        <f>'FORM D'!G165</f>
        <v>2.5995518473092529</v>
      </c>
      <c r="F159" s="448">
        <f t="shared" si="2"/>
        <v>1690187.59</v>
      </c>
      <c r="G159" s="448">
        <f>SUM($F$16:F159)</f>
        <v>168960675.77999991</v>
      </c>
      <c r="H159" s="106"/>
      <c r="I159" s="337"/>
    </row>
    <row r="160" spans="1:9" x14ac:dyDescent="0.25">
      <c r="A160" s="135">
        <f t="shared" si="3"/>
        <v>145</v>
      </c>
      <c r="B160" s="137" t="s">
        <v>292</v>
      </c>
      <c r="C160" s="447">
        <v>2010</v>
      </c>
      <c r="D160" s="448">
        <v>644571.28</v>
      </c>
      <c r="E160" s="449">
        <f>'FORM D'!G166</f>
        <v>2.6020387064159318</v>
      </c>
      <c r="F160" s="448">
        <f t="shared" si="2"/>
        <v>1677199.42</v>
      </c>
      <c r="G160" s="448">
        <f>SUM($F$16:F160)</f>
        <v>170637875.1999999</v>
      </c>
      <c r="H160" s="106"/>
      <c r="I160" s="337"/>
    </row>
    <row r="161" spans="1:9" x14ac:dyDescent="0.25">
      <c r="A161" s="135">
        <f t="shared" si="3"/>
        <v>146</v>
      </c>
      <c r="B161" s="137" t="s">
        <v>293</v>
      </c>
      <c r="C161" s="447">
        <v>2010</v>
      </c>
      <c r="D161" s="448">
        <v>654671.03</v>
      </c>
      <c r="E161" s="449">
        <f>'FORM D'!G167</f>
        <v>2.6293941565893908</v>
      </c>
      <c r="F161" s="448">
        <f t="shared" si="2"/>
        <v>1721388.18</v>
      </c>
      <c r="G161" s="448">
        <f>SUM($F$16:F161)</f>
        <v>172359263.37999991</v>
      </c>
      <c r="H161" s="106"/>
      <c r="I161" s="337"/>
    </row>
    <row r="162" spans="1:9" x14ac:dyDescent="0.25">
      <c r="A162" s="135">
        <f t="shared" si="3"/>
        <v>147</v>
      </c>
      <c r="B162" s="137" t="s">
        <v>294</v>
      </c>
      <c r="C162" s="447">
        <v>2010</v>
      </c>
      <c r="D162" s="448">
        <v>683908.38</v>
      </c>
      <c r="E162" s="449">
        <f>'FORM D'!G168</f>
        <v>2.6663417776028941</v>
      </c>
      <c r="F162" s="448">
        <f t="shared" ref="F162:F225" si="4">ROUND(D162*E162,2)</f>
        <v>1823533.49</v>
      </c>
      <c r="G162" s="448">
        <f>SUM($F$16:F162)</f>
        <v>174182796.86999992</v>
      </c>
      <c r="H162" s="106"/>
      <c r="I162" s="337"/>
    </row>
    <row r="163" spans="1:9" x14ac:dyDescent="0.25">
      <c r="A163" s="135">
        <f t="shared" ref="A163:A165" si="5">A162+1</f>
        <v>148</v>
      </c>
      <c r="B163" s="137" t="s">
        <v>295</v>
      </c>
      <c r="C163" s="447">
        <v>2011</v>
      </c>
      <c r="D163" s="448">
        <v>557397.20000000007</v>
      </c>
      <c r="E163" s="449">
        <f>'FORM D'!G169</f>
        <v>2.7044554196645141</v>
      </c>
      <c r="F163" s="448">
        <f t="shared" si="4"/>
        <v>1507455.88</v>
      </c>
      <c r="G163" s="448">
        <f>SUM($F$16:F163)</f>
        <v>175690252.74999991</v>
      </c>
      <c r="H163" s="106"/>
      <c r="I163" s="337"/>
    </row>
    <row r="164" spans="1:9" x14ac:dyDescent="0.25">
      <c r="A164" s="135">
        <f t="shared" si="5"/>
        <v>149</v>
      </c>
      <c r="B164" s="137" t="s">
        <v>296</v>
      </c>
      <c r="C164" s="447">
        <v>2011</v>
      </c>
      <c r="D164" s="448">
        <v>652193.93000000005</v>
      </c>
      <c r="E164" s="449">
        <f>'FORM D'!G170</f>
        <v>2.8176484535601176</v>
      </c>
      <c r="F164" s="448">
        <f t="shared" si="4"/>
        <v>1837653.22</v>
      </c>
      <c r="G164" s="448">
        <f>SUM($F$16:F164)</f>
        <v>177527905.96999991</v>
      </c>
      <c r="H164" s="106"/>
      <c r="I164" s="337"/>
    </row>
    <row r="165" spans="1:9" x14ac:dyDescent="0.25">
      <c r="A165" s="135">
        <f t="shared" si="5"/>
        <v>150</v>
      </c>
      <c r="B165" s="137" t="s">
        <v>297</v>
      </c>
      <c r="C165" s="447">
        <v>2011</v>
      </c>
      <c r="D165" s="448">
        <v>619646.37</v>
      </c>
      <c r="E165" s="449">
        <f>'FORM D'!G171</f>
        <v>2.907393958735613</v>
      </c>
      <c r="F165" s="448">
        <f t="shared" si="4"/>
        <v>1801556.11</v>
      </c>
      <c r="G165" s="448">
        <f>SUM($F$16:F165)</f>
        <v>179329462.07999992</v>
      </c>
      <c r="H165" s="106"/>
      <c r="I165" s="337"/>
    </row>
    <row r="166" spans="1:9" x14ac:dyDescent="0.25">
      <c r="A166" s="135">
        <f t="shared" ref="A166:A226" si="6">A165+1</f>
        <v>151</v>
      </c>
      <c r="B166" s="137" t="s">
        <v>298</v>
      </c>
      <c r="C166" s="447">
        <v>2011</v>
      </c>
      <c r="D166" s="448">
        <v>654370.43000000005</v>
      </c>
      <c r="E166" s="449">
        <f>'FORM D'!G172</f>
        <v>2.9892325643186006</v>
      </c>
      <c r="F166" s="448">
        <f t="shared" si="4"/>
        <v>1956065.4</v>
      </c>
      <c r="G166" s="448">
        <f>SUM($F$16:F166)</f>
        <v>181285527.47999993</v>
      </c>
      <c r="H166" s="106"/>
      <c r="I166" s="337"/>
    </row>
    <row r="167" spans="1:9" x14ac:dyDescent="0.25">
      <c r="A167" s="135">
        <f t="shared" si="6"/>
        <v>152</v>
      </c>
      <c r="B167" s="137" t="s">
        <v>299</v>
      </c>
      <c r="C167" s="447">
        <v>2011</v>
      </c>
      <c r="D167" s="448">
        <v>684269.73</v>
      </c>
      <c r="E167" s="449">
        <f>'FORM D'!G173</f>
        <v>2.973245612918527</v>
      </c>
      <c r="F167" s="448">
        <f t="shared" si="4"/>
        <v>2034501.97</v>
      </c>
      <c r="G167" s="448">
        <f>SUM($F$16:F167)</f>
        <v>183320029.44999993</v>
      </c>
      <c r="H167" s="106"/>
      <c r="I167" s="337"/>
    </row>
    <row r="168" spans="1:9" x14ac:dyDescent="0.25">
      <c r="A168" s="135">
        <f t="shared" si="6"/>
        <v>153</v>
      </c>
      <c r="B168" s="137" t="s">
        <v>300</v>
      </c>
      <c r="C168" s="447">
        <v>2011</v>
      </c>
      <c r="D168" s="448">
        <v>652027.62</v>
      </c>
      <c r="E168" s="449">
        <f>'FORM D'!G174</f>
        <v>2.9350682105322674</v>
      </c>
      <c r="F168" s="448">
        <f t="shared" si="4"/>
        <v>1913745.54</v>
      </c>
      <c r="G168" s="448">
        <f>SUM($F$16:F168)</f>
        <v>185233774.98999992</v>
      </c>
      <c r="H168" s="106"/>
      <c r="I168" s="337"/>
    </row>
    <row r="169" spans="1:9" x14ac:dyDescent="0.25">
      <c r="A169" s="135">
        <f t="shared" si="6"/>
        <v>154</v>
      </c>
      <c r="B169" s="137" t="s">
        <v>289</v>
      </c>
      <c r="C169" s="447">
        <v>2011</v>
      </c>
      <c r="D169" s="448">
        <v>673346.5</v>
      </c>
      <c r="E169" s="449">
        <f>'FORM D'!G175</f>
        <v>2.9784461316254771</v>
      </c>
      <c r="F169" s="448">
        <f t="shared" si="4"/>
        <v>2005526.28</v>
      </c>
      <c r="G169" s="448">
        <f>SUM($F$16:F169)</f>
        <v>187239301.26999992</v>
      </c>
      <c r="H169" s="106"/>
      <c r="I169" s="337"/>
    </row>
    <row r="170" spans="1:9" x14ac:dyDescent="0.25">
      <c r="A170" s="135">
        <f t="shared" si="6"/>
        <v>155</v>
      </c>
      <c r="B170" s="137" t="s">
        <v>290</v>
      </c>
      <c r="C170" s="447">
        <v>2011</v>
      </c>
      <c r="D170" s="448">
        <v>676087.41</v>
      </c>
      <c r="E170" s="449">
        <f>'FORM D'!G176</f>
        <v>2.9918003680649816</v>
      </c>
      <c r="F170" s="448">
        <f t="shared" si="4"/>
        <v>2022718.56</v>
      </c>
      <c r="G170" s="448">
        <f>SUM($F$16:F170)</f>
        <v>189262019.82999992</v>
      </c>
      <c r="H170" s="106"/>
      <c r="I170" s="337"/>
    </row>
    <row r="171" spans="1:9" x14ac:dyDescent="0.25">
      <c r="A171" s="135">
        <f t="shared" si="6"/>
        <v>156</v>
      </c>
      <c r="B171" s="137" t="s">
        <v>291</v>
      </c>
      <c r="C171" s="447">
        <v>2011</v>
      </c>
      <c r="D171" s="448">
        <v>653749.64</v>
      </c>
      <c r="E171" s="449">
        <f>'FORM D'!G177</f>
        <v>2.9910260765670058</v>
      </c>
      <c r="F171" s="448">
        <f t="shared" si="4"/>
        <v>1955382.22</v>
      </c>
      <c r="G171" s="448">
        <f>SUM($F$16:F171)</f>
        <v>191217402.04999992</v>
      </c>
      <c r="H171" s="106"/>
      <c r="I171" s="337"/>
    </row>
    <row r="172" spans="1:9" x14ac:dyDescent="0.25">
      <c r="A172" s="135">
        <f t="shared" si="6"/>
        <v>157</v>
      </c>
      <c r="B172" s="137" t="s">
        <v>292</v>
      </c>
      <c r="C172" s="447">
        <v>2011</v>
      </c>
      <c r="D172" s="448">
        <v>674032.5900000002</v>
      </c>
      <c r="E172" s="449">
        <f>'FORM D'!G178</f>
        <v>3.0447987008031974</v>
      </c>
      <c r="F172" s="448">
        <f t="shared" si="4"/>
        <v>2052293.55</v>
      </c>
      <c r="G172" s="448">
        <f>SUM($F$16:F172)</f>
        <v>193269695.59999993</v>
      </c>
      <c r="H172" s="106"/>
      <c r="I172" s="337"/>
    </row>
    <row r="173" spans="1:9" x14ac:dyDescent="0.25">
      <c r="A173" s="135">
        <f t="shared" si="6"/>
        <v>158</v>
      </c>
      <c r="B173" s="137" t="s">
        <v>293</v>
      </c>
      <c r="C173" s="447">
        <v>2011</v>
      </c>
      <c r="D173" s="448">
        <v>670278.01</v>
      </c>
      <c r="E173" s="449">
        <f>'FORM D'!G179</f>
        <v>3.118338677243536</v>
      </c>
      <c r="F173" s="448">
        <f t="shared" si="4"/>
        <v>2090153.84</v>
      </c>
      <c r="G173" s="448">
        <f>SUM($F$16:F173)</f>
        <v>195359849.43999994</v>
      </c>
      <c r="H173" s="106"/>
      <c r="I173" s="337"/>
    </row>
    <row r="174" spans="1:9" x14ac:dyDescent="0.25">
      <c r="A174" s="135">
        <f t="shared" si="6"/>
        <v>159</v>
      </c>
      <c r="B174" s="137" t="s">
        <v>294</v>
      </c>
      <c r="C174" s="447">
        <v>2011</v>
      </c>
      <c r="D174" s="448">
        <v>686628.01</v>
      </c>
      <c r="E174" s="449">
        <f>'FORM D'!G180</f>
        <v>3.1440453201329315</v>
      </c>
      <c r="F174" s="448">
        <f t="shared" si="4"/>
        <v>2158789.58</v>
      </c>
      <c r="G174" s="448">
        <f>SUM($F$16:F174)</f>
        <v>197518639.01999995</v>
      </c>
      <c r="H174" s="106"/>
      <c r="I174" s="337"/>
    </row>
    <row r="175" spans="1:9" x14ac:dyDescent="0.25">
      <c r="A175" s="135">
        <f t="shared" si="6"/>
        <v>160</v>
      </c>
      <c r="B175" s="137" t="s">
        <v>295</v>
      </c>
      <c r="C175" s="447">
        <v>2012</v>
      </c>
      <c r="D175" s="448">
        <v>660718.03</v>
      </c>
      <c r="E175" s="449">
        <f>'FORM D'!G181</f>
        <v>3.1141300829258487</v>
      </c>
      <c r="F175" s="448">
        <f t="shared" si="4"/>
        <v>2057561.89</v>
      </c>
      <c r="G175" s="448">
        <f>SUM($F$16:F175)</f>
        <v>199576200.90999994</v>
      </c>
      <c r="H175" s="106"/>
      <c r="I175" s="337"/>
    </row>
    <row r="176" spans="1:9" x14ac:dyDescent="0.25">
      <c r="A176" s="135">
        <f t="shared" si="6"/>
        <v>161</v>
      </c>
      <c r="B176" s="137" t="s">
        <v>296</v>
      </c>
      <c r="C176" s="447">
        <v>2012</v>
      </c>
      <c r="D176" s="448">
        <v>686472.55</v>
      </c>
      <c r="E176" s="449">
        <f>'FORM D'!G182</f>
        <v>3.1153871606597709</v>
      </c>
      <c r="F176" s="448">
        <f t="shared" si="4"/>
        <v>2138627.77</v>
      </c>
      <c r="G176" s="448">
        <f>SUM($F$16:F176)</f>
        <v>201714828.67999995</v>
      </c>
      <c r="H176" s="106"/>
      <c r="I176" s="337"/>
    </row>
    <row r="177" spans="1:9" x14ac:dyDescent="0.25">
      <c r="A177" s="135">
        <f t="shared" si="6"/>
        <v>162</v>
      </c>
      <c r="B177" s="137" t="s">
        <v>297</v>
      </c>
      <c r="C177" s="447">
        <v>2012</v>
      </c>
      <c r="D177" s="448">
        <v>673826.4600000002</v>
      </c>
      <c r="E177" s="449">
        <f>'FORM D'!G183</f>
        <v>3.1361838456604496</v>
      </c>
      <c r="F177" s="448">
        <f t="shared" si="4"/>
        <v>2113243.66</v>
      </c>
      <c r="G177" s="448">
        <f>SUM($F$16:F177)</f>
        <v>203828072.33999994</v>
      </c>
      <c r="H177" s="106"/>
      <c r="I177" s="337"/>
    </row>
    <row r="178" spans="1:9" x14ac:dyDescent="0.25">
      <c r="A178" s="135">
        <f t="shared" si="6"/>
        <v>163</v>
      </c>
      <c r="B178" s="137" t="s">
        <v>298</v>
      </c>
      <c r="C178" s="447">
        <v>2012</v>
      </c>
      <c r="D178" s="448">
        <v>685307.8400000002</v>
      </c>
      <c r="E178" s="449">
        <f>'FORM D'!G184</f>
        <v>3.1638308010959384</v>
      </c>
      <c r="F178" s="448">
        <f t="shared" si="4"/>
        <v>2168198.0499999998</v>
      </c>
      <c r="G178" s="448">
        <f>SUM($F$16:F178)</f>
        <v>205996270.38999996</v>
      </c>
      <c r="H178" s="106"/>
      <c r="I178" s="337"/>
    </row>
    <row r="179" spans="1:9" x14ac:dyDescent="0.25">
      <c r="A179" s="135">
        <f t="shared" si="6"/>
        <v>164</v>
      </c>
      <c r="B179" s="137" t="s">
        <v>299</v>
      </c>
      <c r="C179" s="447">
        <v>2012</v>
      </c>
      <c r="D179" s="448">
        <v>680761.54</v>
      </c>
      <c r="E179" s="449">
        <f>'FORM D'!G185</f>
        <v>3.1810110699052951</v>
      </c>
      <c r="F179" s="448">
        <f t="shared" si="4"/>
        <v>2165509.9900000002</v>
      </c>
      <c r="G179" s="448">
        <f>SUM($F$16:F179)</f>
        <v>208161780.37999997</v>
      </c>
      <c r="H179" s="106"/>
      <c r="I179" s="337"/>
    </row>
    <row r="180" spans="1:9" x14ac:dyDescent="0.25">
      <c r="A180" s="135">
        <f t="shared" si="6"/>
        <v>165</v>
      </c>
      <c r="B180" s="137" t="s">
        <v>300</v>
      </c>
      <c r="C180" s="447">
        <v>2012</v>
      </c>
      <c r="D180" s="448">
        <v>652586.93000000005</v>
      </c>
      <c r="E180" s="449">
        <f>'FORM D'!G186</f>
        <v>3.1231027792783617</v>
      </c>
      <c r="F180" s="448">
        <f t="shared" si="4"/>
        <v>2038096.05</v>
      </c>
      <c r="G180" s="448">
        <f>SUM($F$16:F180)</f>
        <v>210199876.42999998</v>
      </c>
      <c r="H180" s="106"/>
      <c r="I180" s="337"/>
    </row>
    <row r="181" spans="1:9" x14ac:dyDescent="0.25">
      <c r="A181" s="135">
        <f t="shared" si="6"/>
        <v>166</v>
      </c>
      <c r="B181" s="137" t="s">
        <v>289</v>
      </c>
      <c r="C181" s="447">
        <v>2012</v>
      </c>
      <c r="D181" s="448">
        <v>674928.87</v>
      </c>
      <c r="E181" s="449">
        <f>'FORM D'!G187</f>
        <v>3.0660136076983631</v>
      </c>
      <c r="F181" s="448">
        <f t="shared" si="4"/>
        <v>2069341.1</v>
      </c>
      <c r="G181" s="448">
        <f>SUM($F$16:F181)</f>
        <v>212269217.52999997</v>
      </c>
      <c r="H181" s="106"/>
      <c r="I181" s="337"/>
    </row>
    <row r="182" spans="1:9" x14ac:dyDescent="0.25">
      <c r="A182" s="135">
        <f t="shared" si="6"/>
        <v>167</v>
      </c>
      <c r="B182" s="137" t="s">
        <v>290</v>
      </c>
      <c r="C182" s="447">
        <v>2012</v>
      </c>
      <c r="D182" s="448">
        <v>675960.3</v>
      </c>
      <c r="E182" s="449">
        <f>'FORM D'!G188</f>
        <v>3.100182864343159</v>
      </c>
      <c r="F182" s="448">
        <f t="shared" si="4"/>
        <v>2095600.54</v>
      </c>
      <c r="G182" s="448">
        <f>SUM($F$16:F182)</f>
        <v>214364818.06999996</v>
      </c>
      <c r="H182" s="106"/>
      <c r="I182" s="337"/>
    </row>
    <row r="183" spans="1:9" x14ac:dyDescent="0.25">
      <c r="A183" s="135">
        <f t="shared" si="6"/>
        <v>168</v>
      </c>
      <c r="B183" s="137" t="s">
        <v>291</v>
      </c>
      <c r="C183" s="447">
        <v>2012</v>
      </c>
      <c r="D183" s="448">
        <v>659675.55000000005</v>
      </c>
      <c r="E183" s="449">
        <f>'FORM D'!G189</f>
        <v>3.1879334642502299</v>
      </c>
      <c r="F183" s="448">
        <f t="shared" si="4"/>
        <v>2103001.7599999998</v>
      </c>
      <c r="G183" s="448">
        <f>SUM($F$16:F183)</f>
        <v>216467819.82999995</v>
      </c>
      <c r="H183" s="106"/>
      <c r="I183" s="337"/>
    </row>
    <row r="184" spans="1:9" x14ac:dyDescent="0.25">
      <c r="A184" s="135">
        <f t="shared" si="6"/>
        <v>169</v>
      </c>
      <c r="B184" s="137" t="s">
        <v>292</v>
      </c>
      <c r="C184" s="447">
        <v>2012</v>
      </c>
      <c r="D184" s="448">
        <v>633467.70000000007</v>
      </c>
      <c r="E184" s="449">
        <f>'FORM D'!G190</f>
        <v>3.2600523783438948</v>
      </c>
      <c r="F184" s="448">
        <f t="shared" si="4"/>
        <v>2065137.88</v>
      </c>
      <c r="G184" s="448">
        <f>SUM($F$16:F184)</f>
        <v>218532957.70999995</v>
      </c>
      <c r="H184" s="106"/>
      <c r="I184" s="337"/>
    </row>
    <row r="185" spans="1:9" x14ac:dyDescent="0.25">
      <c r="A185" s="135">
        <f t="shared" si="6"/>
        <v>170</v>
      </c>
      <c r="B185" s="137" t="s">
        <v>293</v>
      </c>
      <c r="C185" s="447">
        <v>2012</v>
      </c>
      <c r="D185" s="448">
        <v>659854.91</v>
      </c>
      <c r="E185" s="449">
        <f>'FORM D'!G191</f>
        <v>3.2824341103039978</v>
      </c>
      <c r="F185" s="448">
        <f t="shared" si="4"/>
        <v>2165930.2599999998</v>
      </c>
      <c r="G185" s="448">
        <f>SUM($F$16:F185)</f>
        <v>220698887.96999994</v>
      </c>
      <c r="H185" s="106"/>
      <c r="I185" s="337"/>
    </row>
    <row r="186" spans="1:9" x14ac:dyDescent="0.25">
      <c r="A186" s="135">
        <f t="shared" si="6"/>
        <v>171</v>
      </c>
      <c r="B186" s="137" t="s">
        <v>294</v>
      </c>
      <c r="C186" s="447">
        <v>2012</v>
      </c>
      <c r="D186" s="448">
        <v>660739.99</v>
      </c>
      <c r="E186" s="449">
        <f>'FORM D'!G192</f>
        <v>3.2711293718552512</v>
      </c>
      <c r="F186" s="448">
        <f t="shared" si="4"/>
        <v>2161365.9900000002</v>
      </c>
      <c r="G186" s="448">
        <f>SUM($F$16:F186)</f>
        <v>222860253.95999995</v>
      </c>
      <c r="H186" s="106"/>
      <c r="I186" s="337"/>
    </row>
    <row r="187" spans="1:9" x14ac:dyDescent="0.25">
      <c r="A187" s="135">
        <f t="shared" si="6"/>
        <v>172</v>
      </c>
      <c r="B187" s="137" t="s">
        <v>295</v>
      </c>
      <c r="C187" s="447">
        <v>2013</v>
      </c>
      <c r="D187" s="448">
        <v>669432.69000000006</v>
      </c>
      <c r="E187" s="449">
        <f>'FORM D'!G193</f>
        <v>3.2682942967716713</v>
      </c>
      <c r="F187" s="448">
        <f t="shared" si="4"/>
        <v>2187903.04</v>
      </c>
      <c r="G187" s="448">
        <f>SUM($F$16:F187)</f>
        <v>225048156.99999994</v>
      </c>
      <c r="H187" s="106"/>
      <c r="I187" s="337"/>
    </row>
    <row r="188" spans="1:9" x14ac:dyDescent="0.25">
      <c r="A188" s="135">
        <f t="shared" si="6"/>
        <v>173</v>
      </c>
      <c r="B188" s="137" t="s">
        <v>296</v>
      </c>
      <c r="C188" s="447">
        <v>2013</v>
      </c>
      <c r="D188" s="448">
        <v>656323.28</v>
      </c>
      <c r="E188" s="449">
        <f>'FORM D'!G194</f>
        <v>3.3010975737768935</v>
      </c>
      <c r="F188" s="448">
        <f t="shared" si="4"/>
        <v>2166587.19</v>
      </c>
      <c r="G188" s="448">
        <f>SUM($F$16:F188)</f>
        <v>227214744.18999994</v>
      </c>
      <c r="H188" s="106"/>
      <c r="I188" s="337"/>
    </row>
    <row r="189" spans="1:9" x14ac:dyDescent="0.25">
      <c r="A189" s="135">
        <f t="shared" si="6"/>
        <v>174</v>
      </c>
      <c r="B189" s="137" t="s">
        <v>297</v>
      </c>
      <c r="C189" s="447">
        <v>2013</v>
      </c>
      <c r="D189" s="448">
        <v>642122.85</v>
      </c>
      <c r="E189" s="449">
        <f>'FORM D'!G195</f>
        <v>3.3722650618951824</v>
      </c>
      <c r="F189" s="448">
        <f t="shared" si="4"/>
        <v>2165408.4500000002</v>
      </c>
      <c r="G189" s="448">
        <f>SUM($F$16:F189)</f>
        <v>229380152.63999993</v>
      </c>
      <c r="H189" s="106"/>
      <c r="I189" s="337"/>
    </row>
    <row r="190" spans="1:9" x14ac:dyDescent="0.25">
      <c r="A190" s="135">
        <f t="shared" si="6"/>
        <v>175</v>
      </c>
      <c r="B190" s="137" t="s">
        <v>298</v>
      </c>
      <c r="C190" s="447">
        <v>2013</v>
      </c>
      <c r="D190" s="448">
        <v>682185.39</v>
      </c>
      <c r="E190" s="449">
        <f>'FORM D'!G196</f>
        <v>3.2983520184169217</v>
      </c>
      <c r="F190" s="448">
        <f t="shared" si="4"/>
        <v>2250087.56</v>
      </c>
      <c r="G190" s="448">
        <f>SUM($F$16:F190)</f>
        <v>231630240.19999993</v>
      </c>
      <c r="H190" s="106"/>
      <c r="I190" s="337"/>
    </row>
    <row r="191" spans="1:9" x14ac:dyDescent="0.25">
      <c r="A191" s="135">
        <f t="shared" si="6"/>
        <v>176</v>
      </c>
      <c r="B191" s="137" t="s">
        <v>299</v>
      </c>
      <c r="C191" s="447">
        <v>2013</v>
      </c>
      <c r="D191" s="448">
        <v>680571.64</v>
      </c>
      <c r="E191" s="449">
        <f>'FORM D'!G197</f>
        <v>3.2608319221897313</v>
      </c>
      <c r="F191" s="448">
        <f t="shared" si="4"/>
        <v>2219229.73</v>
      </c>
      <c r="G191" s="448">
        <f>SUM($F$16:F191)</f>
        <v>233849469.92999992</v>
      </c>
      <c r="H191" s="106"/>
      <c r="I191" s="337"/>
    </row>
    <row r="192" spans="1:9" x14ac:dyDescent="0.25">
      <c r="A192" s="135">
        <f t="shared" si="6"/>
        <v>177</v>
      </c>
      <c r="B192" s="137" t="s">
        <v>300</v>
      </c>
      <c r="C192" s="447">
        <v>2013</v>
      </c>
      <c r="D192" s="448">
        <v>676034.03</v>
      </c>
      <c r="E192" s="449">
        <f>'FORM D'!G198</f>
        <v>3.2877924778430789</v>
      </c>
      <c r="F192" s="448">
        <f t="shared" si="4"/>
        <v>2222659.6</v>
      </c>
      <c r="G192" s="448">
        <f>SUM($F$16:F192)</f>
        <v>236072129.52999991</v>
      </c>
      <c r="H192" s="106"/>
      <c r="I192" s="337"/>
    </row>
    <row r="193" spans="1:9" x14ac:dyDescent="0.25">
      <c r="A193" s="135">
        <f t="shared" si="6"/>
        <v>178</v>
      </c>
      <c r="B193" s="137" t="s">
        <v>289</v>
      </c>
      <c r="C193" s="447">
        <v>2013</v>
      </c>
      <c r="D193" s="448">
        <v>638979.76</v>
      </c>
      <c r="E193" s="449">
        <f>'FORM D'!G199</f>
        <v>3.4145699676477483</v>
      </c>
      <c r="F193" s="448">
        <f t="shared" si="4"/>
        <v>2181841.1</v>
      </c>
      <c r="G193" s="448">
        <f>SUM($F$16:F193)</f>
        <v>238253970.62999991</v>
      </c>
      <c r="H193" s="106"/>
      <c r="I193" s="337"/>
    </row>
    <row r="194" spans="1:9" x14ac:dyDescent="0.25">
      <c r="A194" s="135">
        <f t="shared" si="6"/>
        <v>179</v>
      </c>
      <c r="B194" s="137" t="s">
        <v>290</v>
      </c>
      <c r="C194" s="447">
        <v>2013</v>
      </c>
      <c r="D194" s="448">
        <v>673955.23</v>
      </c>
      <c r="E194" s="449">
        <f>'FORM D'!G200</f>
        <v>3.4695471576964483</v>
      </c>
      <c r="F194" s="448">
        <f t="shared" si="4"/>
        <v>2338319.4500000002</v>
      </c>
      <c r="G194" s="448">
        <f>SUM($F$16:F194)</f>
        <v>240592290.07999989</v>
      </c>
      <c r="H194" s="106"/>
      <c r="I194" s="337"/>
    </row>
    <row r="195" spans="1:9" x14ac:dyDescent="0.25">
      <c r="A195" s="135">
        <f t="shared" si="6"/>
        <v>180</v>
      </c>
      <c r="B195" s="137" t="s">
        <v>291</v>
      </c>
      <c r="C195" s="447">
        <v>2013</v>
      </c>
      <c r="D195" s="448">
        <v>676332.88</v>
      </c>
      <c r="E195" s="449">
        <f>'FORM D'!G201</f>
        <v>3.4996048793416983</v>
      </c>
      <c r="F195" s="448">
        <f t="shared" si="4"/>
        <v>2366897.85</v>
      </c>
      <c r="G195" s="448">
        <f>SUM($F$16:F195)</f>
        <v>242959187.92999989</v>
      </c>
      <c r="H195" s="106"/>
      <c r="I195" s="337"/>
    </row>
    <row r="196" spans="1:9" x14ac:dyDescent="0.25">
      <c r="A196" s="135">
        <f t="shared" si="6"/>
        <v>181</v>
      </c>
      <c r="B196" s="137" t="s">
        <v>292</v>
      </c>
      <c r="C196" s="447">
        <v>2013</v>
      </c>
      <c r="D196" s="448">
        <v>629217.16</v>
      </c>
      <c r="E196" s="449">
        <f>'FORM D'!G202</f>
        <v>3.4934803707457935</v>
      </c>
      <c r="F196" s="448">
        <f t="shared" si="4"/>
        <v>2198157.7999999998</v>
      </c>
      <c r="G196" s="448">
        <f>SUM($F$16:F196)</f>
        <v>245157345.7299999</v>
      </c>
      <c r="H196" s="106"/>
      <c r="I196" s="337"/>
    </row>
    <row r="197" spans="1:9" x14ac:dyDescent="0.25">
      <c r="A197" s="135">
        <f t="shared" si="6"/>
        <v>182</v>
      </c>
      <c r="B197" s="137" t="s">
        <v>293</v>
      </c>
      <c r="C197" s="447">
        <v>2013</v>
      </c>
      <c r="D197" s="448">
        <v>656060.76</v>
      </c>
      <c r="E197" s="449">
        <f>'FORM D'!G203</f>
        <v>3.4860890663979678</v>
      </c>
      <c r="F197" s="448">
        <f t="shared" si="4"/>
        <v>2287086.2400000002</v>
      </c>
      <c r="G197" s="448">
        <f>SUM($F$16:F197)</f>
        <v>247444431.96999991</v>
      </c>
      <c r="H197" s="106"/>
      <c r="I197" s="337"/>
    </row>
    <row r="198" spans="1:9" x14ac:dyDescent="0.25">
      <c r="A198" s="135">
        <f t="shared" si="6"/>
        <v>183</v>
      </c>
      <c r="B198" s="137" t="s">
        <v>294</v>
      </c>
      <c r="C198" s="447">
        <v>2013</v>
      </c>
      <c r="D198" s="448">
        <v>634819.66</v>
      </c>
      <c r="E198" s="449">
        <f>'FORM D'!G204</f>
        <v>3.5230455881370979</v>
      </c>
      <c r="F198" s="448">
        <f t="shared" si="4"/>
        <v>2236498.6</v>
      </c>
      <c r="G198" s="448">
        <f>SUM($F$16:F198)</f>
        <v>249680930.5699999</v>
      </c>
      <c r="H198" s="106"/>
      <c r="I198" s="337"/>
    </row>
    <row r="199" spans="1:9" x14ac:dyDescent="0.25">
      <c r="A199" s="135">
        <f t="shared" si="6"/>
        <v>184</v>
      </c>
      <c r="B199" s="137" t="s">
        <v>295</v>
      </c>
      <c r="C199" s="447">
        <v>2014</v>
      </c>
      <c r="D199" s="448">
        <v>675006.23</v>
      </c>
      <c r="E199" s="449">
        <f>'FORM D'!G205</f>
        <v>3.5831610314275992</v>
      </c>
      <c r="F199" s="448">
        <f t="shared" si="4"/>
        <v>2418656.02</v>
      </c>
      <c r="G199" s="448">
        <f>SUM($F$16:F199)</f>
        <v>252099586.58999991</v>
      </c>
      <c r="H199" s="106"/>
      <c r="I199" s="337"/>
    </row>
    <row r="200" spans="1:9" x14ac:dyDescent="0.25">
      <c r="A200" s="135">
        <f t="shared" si="6"/>
        <v>185</v>
      </c>
      <c r="B200" s="137" t="s">
        <v>296</v>
      </c>
      <c r="C200" s="447">
        <v>2014</v>
      </c>
      <c r="D200" s="448">
        <v>661405.76</v>
      </c>
      <c r="E200" s="449">
        <f>'FORM D'!G206</f>
        <v>3.6290574405105063</v>
      </c>
      <c r="F200" s="448">
        <f t="shared" si="4"/>
        <v>2400279.4900000002</v>
      </c>
      <c r="G200" s="448">
        <f>SUM($F$16:F200)</f>
        <v>254499866.07999992</v>
      </c>
      <c r="H200" s="106"/>
      <c r="I200" s="337"/>
    </row>
    <row r="201" spans="1:9" x14ac:dyDescent="0.25">
      <c r="A201" s="135">
        <f t="shared" si="6"/>
        <v>186</v>
      </c>
      <c r="B201" s="137" t="s">
        <v>297</v>
      </c>
      <c r="C201" s="447">
        <v>2014</v>
      </c>
      <c r="D201" s="448">
        <v>642473.62</v>
      </c>
      <c r="E201" s="449">
        <f>'FORM D'!G207</f>
        <v>3.6242707979006381</v>
      </c>
      <c r="F201" s="448">
        <f t="shared" si="4"/>
        <v>2328498.38</v>
      </c>
      <c r="G201" s="448">
        <f>SUM($F$16:F201)</f>
        <v>256828364.45999992</v>
      </c>
      <c r="H201" s="106"/>
      <c r="I201" s="337"/>
    </row>
    <row r="202" spans="1:9" x14ac:dyDescent="0.25">
      <c r="A202" s="135">
        <f t="shared" si="6"/>
        <v>187</v>
      </c>
      <c r="B202" s="137" t="s">
        <v>298</v>
      </c>
      <c r="C202" s="447">
        <v>2014</v>
      </c>
      <c r="D202" s="448">
        <v>650381.08000000007</v>
      </c>
      <c r="E202" s="449">
        <f>'FORM D'!G208</f>
        <v>3.6023076018670754</v>
      </c>
      <c r="F202" s="448">
        <f t="shared" si="4"/>
        <v>2342872.71</v>
      </c>
      <c r="G202" s="448">
        <f>SUM($F$16:F202)</f>
        <v>259171237.16999993</v>
      </c>
      <c r="H202" s="106"/>
      <c r="I202" s="337"/>
    </row>
    <row r="203" spans="1:9" x14ac:dyDescent="0.25">
      <c r="A203" s="135">
        <f t="shared" si="6"/>
        <v>188</v>
      </c>
      <c r="B203" s="137" t="s">
        <v>299</v>
      </c>
      <c r="C203" s="447">
        <v>2014</v>
      </c>
      <c r="D203" s="448">
        <v>650864.51</v>
      </c>
      <c r="E203" s="449">
        <f>'FORM D'!G209</f>
        <v>3.5886508953013303</v>
      </c>
      <c r="F203" s="448">
        <f t="shared" si="4"/>
        <v>2335725.5099999998</v>
      </c>
      <c r="G203" s="448">
        <f>SUM($F$16:F203)</f>
        <v>261506962.67999992</v>
      </c>
      <c r="H203" s="106"/>
      <c r="I203" s="337"/>
    </row>
    <row r="204" spans="1:9" x14ac:dyDescent="0.25">
      <c r="A204" s="135">
        <f t="shared" si="6"/>
        <v>189</v>
      </c>
      <c r="B204" s="137" t="s">
        <v>300</v>
      </c>
      <c r="C204" s="447">
        <v>2014</v>
      </c>
      <c r="D204" s="448">
        <v>675158.82000000007</v>
      </c>
      <c r="E204" s="449">
        <f>'FORM D'!G210</f>
        <v>3.5795701143355378</v>
      </c>
      <c r="F204" s="448">
        <f t="shared" si="4"/>
        <v>2416778.33</v>
      </c>
      <c r="G204" s="448">
        <f>SUM($F$16:F204)</f>
        <v>263923741.00999993</v>
      </c>
      <c r="H204" s="106"/>
      <c r="I204" s="337"/>
    </row>
    <row r="205" spans="1:9" x14ac:dyDescent="0.25">
      <c r="A205" s="135">
        <f t="shared" si="6"/>
        <v>190</v>
      </c>
      <c r="B205" s="137" t="s">
        <v>289</v>
      </c>
      <c r="C205" s="447">
        <v>2014</v>
      </c>
      <c r="D205" s="448">
        <v>644317.66</v>
      </c>
      <c r="E205" s="449">
        <f>'FORM D'!G211</f>
        <v>3.6501565952742405</v>
      </c>
      <c r="F205" s="448">
        <f t="shared" si="4"/>
        <v>2351860.36</v>
      </c>
      <c r="G205" s="448">
        <f>SUM($F$16:F205)</f>
        <v>266275601.36999995</v>
      </c>
      <c r="H205" s="106"/>
      <c r="I205" s="337"/>
    </row>
    <row r="206" spans="1:9" x14ac:dyDescent="0.25">
      <c r="A206" s="135">
        <f t="shared" si="6"/>
        <v>191</v>
      </c>
      <c r="B206" s="137" t="s">
        <v>290</v>
      </c>
      <c r="C206" s="447">
        <v>2014</v>
      </c>
      <c r="D206" s="448">
        <v>661922.42000000004</v>
      </c>
      <c r="E206" s="449">
        <f>'FORM D'!G212</f>
        <v>3.630446450346704</v>
      </c>
      <c r="F206" s="448">
        <f t="shared" si="4"/>
        <v>2403073.9</v>
      </c>
      <c r="G206" s="448">
        <f>SUM($F$16:F206)</f>
        <v>268678675.26999992</v>
      </c>
      <c r="H206" s="106"/>
      <c r="I206" s="337"/>
    </row>
    <row r="207" spans="1:9" x14ac:dyDescent="0.25">
      <c r="A207" s="135">
        <f t="shared" si="6"/>
        <v>192</v>
      </c>
      <c r="B207" s="137" t="s">
        <v>291</v>
      </c>
      <c r="C207" s="447">
        <v>2014</v>
      </c>
      <c r="D207" s="448">
        <v>649652.69000000006</v>
      </c>
      <c r="E207" s="449">
        <f>'FORM D'!G213</f>
        <v>3.6058087691872842</v>
      </c>
      <c r="F207" s="448">
        <f t="shared" si="4"/>
        <v>2342523.37</v>
      </c>
      <c r="G207" s="448">
        <f>SUM($F$16:F207)</f>
        <v>271021198.63999993</v>
      </c>
      <c r="H207" s="106"/>
      <c r="I207" s="337"/>
    </row>
    <row r="208" spans="1:9" x14ac:dyDescent="0.25">
      <c r="A208" s="135">
        <f t="shared" si="6"/>
        <v>193</v>
      </c>
      <c r="B208" s="137" t="s">
        <v>292</v>
      </c>
      <c r="C208" s="447">
        <v>2014</v>
      </c>
      <c r="D208" s="448">
        <v>639210.30000000005</v>
      </c>
      <c r="E208" s="449">
        <f>'FORM D'!G214</f>
        <v>3.5104961041635208</v>
      </c>
      <c r="F208" s="448">
        <f t="shared" si="4"/>
        <v>2243945.27</v>
      </c>
      <c r="G208" s="448">
        <f>SUM($F$16:F208)</f>
        <v>273265143.90999991</v>
      </c>
      <c r="H208" s="106"/>
      <c r="I208" s="337"/>
    </row>
    <row r="209" spans="1:9" x14ac:dyDescent="0.25">
      <c r="A209" s="135">
        <f t="shared" si="6"/>
        <v>194</v>
      </c>
      <c r="B209" s="137" t="s">
        <v>293</v>
      </c>
      <c r="C209" s="447">
        <v>2014</v>
      </c>
      <c r="D209" s="448">
        <v>689066.5</v>
      </c>
      <c r="E209" s="449">
        <f>'FORM D'!G215</f>
        <v>3.4199700817496264</v>
      </c>
      <c r="F209" s="448">
        <f t="shared" si="4"/>
        <v>2356586.81</v>
      </c>
      <c r="G209" s="448">
        <f>SUM($F$16:F209)</f>
        <v>275621730.71999991</v>
      </c>
      <c r="H209" s="106"/>
      <c r="I209" s="337"/>
    </row>
    <row r="210" spans="1:9" x14ac:dyDescent="0.25">
      <c r="A210" s="135">
        <f t="shared" si="6"/>
        <v>195</v>
      </c>
      <c r="B210" s="137" t="s">
        <v>294</v>
      </c>
      <c r="C210" s="447">
        <v>2014</v>
      </c>
      <c r="D210" s="448">
        <v>683045.5900000002</v>
      </c>
      <c r="E210" s="449">
        <f>'FORM D'!G216</f>
        <v>3.2893903716046986</v>
      </c>
      <c r="F210" s="448">
        <f t="shared" si="4"/>
        <v>2246803.59</v>
      </c>
      <c r="G210" s="448">
        <f>SUM($F$16:F210)</f>
        <v>277868534.30999988</v>
      </c>
      <c r="H210" s="106"/>
      <c r="I210" s="337"/>
    </row>
    <row r="211" spans="1:9" x14ac:dyDescent="0.25">
      <c r="A211" s="135">
        <f t="shared" si="6"/>
        <v>196</v>
      </c>
      <c r="B211" s="137" t="s">
        <v>295</v>
      </c>
      <c r="C211" s="447">
        <v>2015</v>
      </c>
      <c r="D211" s="448">
        <v>670864.56000000006</v>
      </c>
      <c r="E211" s="449">
        <f>'FORM D'!G217</f>
        <v>3.1314274249403793</v>
      </c>
      <c r="F211" s="448">
        <f t="shared" si="4"/>
        <v>2100763.6800000002</v>
      </c>
      <c r="G211" s="448">
        <f>SUM($F$16:F211)</f>
        <v>279969297.98999989</v>
      </c>
      <c r="H211" s="106"/>
      <c r="I211" s="337"/>
    </row>
    <row r="212" spans="1:9" x14ac:dyDescent="0.25">
      <c r="A212" s="135">
        <f t="shared" si="6"/>
        <v>197</v>
      </c>
      <c r="B212" s="137" t="s">
        <v>296</v>
      </c>
      <c r="C212" s="447">
        <v>2015</v>
      </c>
      <c r="D212" s="448">
        <v>659848.57000000007</v>
      </c>
      <c r="E212" s="449">
        <f>'FORM D'!G218</f>
        <v>3.0523050579862048</v>
      </c>
      <c r="F212" s="448">
        <f t="shared" si="4"/>
        <v>2014059.13</v>
      </c>
      <c r="G212" s="448">
        <f>SUM($F$16:F212)</f>
        <v>281983357.11999989</v>
      </c>
      <c r="H212" s="106"/>
      <c r="I212" s="337"/>
    </row>
    <row r="213" spans="1:9" x14ac:dyDescent="0.25">
      <c r="A213" s="135">
        <f t="shared" si="6"/>
        <v>198</v>
      </c>
      <c r="B213" s="137" t="s">
        <v>297</v>
      </c>
      <c r="C213" s="447">
        <v>2015</v>
      </c>
      <c r="D213" s="448">
        <v>663073.70000000007</v>
      </c>
      <c r="E213" s="449">
        <f>'FORM D'!G219</f>
        <v>3.1613442529636142</v>
      </c>
      <c r="F213" s="448">
        <f t="shared" si="4"/>
        <v>2096204.23</v>
      </c>
      <c r="G213" s="448">
        <f>SUM($F$16:F213)</f>
        <v>284079561.3499999</v>
      </c>
      <c r="H213" s="106"/>
      <c r="I213" s="337"/>
    </row>
    <row r="214" spans="1:9" x14ac:dyDescent="0.25">
      <c r="A214" s="135">
        <f t="shared" si="6"/>
        <v>199</v>
      </c>
      <c r="B214" s="137" t="s">
        <v>298</v>
      </c>
      <c r="C214" s="447">
        <v>2015</v>
      </c>
      <c r="D214" s="448">
        <v>659525.09000000008</v>
      </c>
      <c r="E214" s="449">
        <f>'FORM D'!G220</f>
        <v>3.2346937219538163</v>
      </c>
      <c r="F214" s="448">
        <f t="shared" si="4"/>
        <v>2133361.67</v>
      </c>
      <c r="G214" s="448">
        <f>SUM($F$16:F214)</f>
        <v>286212923.01999992</v>
      </c>
      <c r="H214" s="106"/>
      <c r="I214" s="337"/>
    </row>
    <row r="215" spans="1:9" x14ac:dyDescent="0.25">
      <c r="A215" s="135">
        <f t="shared" si="6"/>
        <v>200</v>
      </c>
      <c r="B215" s="137" t="s">
        <v>299</v>
      </c>
      <c r="C215" s="447">
        <v>2015</v>
      </c>
      <c r="D215" s="448">
        <v>657963.17000000004</v>
      </c>
      <c r="E215" s="449">
        <f>'FORM D'!G221</f>
        <v>3.2470125625335262</v>
      </c>
      <c r="F215" s="448">
        <f t="shared" si="4"/>
        <v>2136414.6800000002</v>
      </c>
      <c r="G215" s="448">
        <f>SUM($F$16:F215)</f>
        <v>288349337.69999993</v>
      </c>
      <c r="H215" s="106"/>
      <c r="I215" s="337"/>
    </row>
    <row r="216" spans="1:9" x14ac:dyDescent="0.25">
      <c r="A216" s="135">
        <f t="shared" si="6"/>
        <v>201</v>
      </c>
      <c r="B216" s="137" t="s">
        <v>300</v>
      </c>
      <c r="C216" s="447">
        <v>2015</v>
      </c>
      <c r="D216" s="448">
        <v>654337.81000000006</v>
      </c>
      <c r="E216" s="449">
        <f>'FORM D'!G222</f>
        <v>3.2938241567364246</v>
      </c>
      <c r="F216" s="448">
        <f t="shared" si="4"/>
        <v>2155273.69</v>
      </c>
      <c r="G216" s="448">
        <f>SUM($F$16:F216)</f>
        <v>290504611.38999993</v>
      </c>
      <c r="H216" s="106"/>
      <c r="I216" s="337"/>
    </row>
    <row r="217" spans="1:9" x14ac:dyDescent="0.25">
      <c r="A217" s="135">
        <f t="shared" si="6"/>
        <v>202</v>
      </c>
      <c r="B217" s="137" t="s">
        <v>289</v>
      </c>
      <c r="C217" s="447">
        <v>2015</v>
      </c>
      <c r="D217" s="448">
        <v>644436.56000000006</v>
      </c>
      <c r="E217" s="449">
        <f>'FORM D'!G223</f>
        <v>3.3626883714807603</v>
      </c>
      <c r="F217" s="448">
        <f t="shared" si="4"/>
        <v>2167039.33</v>
      </c>
      <c r="G217" s="448">
        <f>SUM($F$16:F217)</f>
        <v>292671650.71999991</v>
      </c>
      <c r="H217" s="106"/>
      <c r="I217" s="337"/>
    </row>
    <row r="218" spans="1:9" x14ac:dyDescent="0.25">
      <c r="A218" s="135">
        <f t="shared" si="6"/>
        <v>203</v>
      </c>
      <c r="B218" s="137" t="s">
        <v>290</v>
      </c>
      <c r="C218" s="447">
        <v>2015</v>
      </c>
      <c r="D218" s="448">
        <v>659913.56000000006</v>
      </c>
      <c r="E218" s="449">
        <f>'FORM D'!G224</f>
        <v>3.2813840236546734</v>
      </c>
      <c r="F218" s="448">
        <f t="shared" si="4"/>
        <v>2165429.81</v>
      </c>
      <c r="G218" s="448">
        <f>SUM($F$16:F218)</f>
        <v>294837080.52999991</v>
      </c>
      <c r="H218" s="106"/>
      <c r="I218" s="337"/>
    </row>
    <row r="219" spans="1:9" x14ac:dyDescent="0.25">
      <c r="A219" s="135">
        <f t="shared" si="6"/>
        <v>204</v>
      </c>
      <c r="B219" s="137" t="s">
        <v>291</v>
      </c>
      <c r="C219" s="447">
        <v>2015</v>
      </c>
      <c r="D219" s="448">
        <v>652286.99</v>
      </c>
      <c r="E219" s="449">
        <f>'FORM D'!G225</f>
        <v>3.2370361975677171</v>
      </c>
      <c r="F219" s="448">
        <f t="shared" si="4"/>
        <v>2111476.6</v>
      </c>
      <c r="G219" s="448">
        <f>SUM($F$16:F219)</f>
        <v>296948557.12999994</v>
      </c>
      <c r="H219" s="106"/>
      <c r="I219" s="337"/>
    </row>
    <row r="220" spans="1:9" x14ac:dyDescent="0.25">
      <c r="A220" s="135">
        <f t="shared" si="6"/>
        <v>205</v>
      </c>
      <c r="B220" s="137" t="s">
        <v>292</v>
      </c>
      <c r="C220" s="447">
        <v>2015</v>
      </c>
      <c r="D220" s="448">
        <v>693322.85</v>
      </c>
      <c r="E220" s="449">
        <f>'FORM D'!G226</f>
        <v>3.3093295878159128</v>
      </c>
      <c r="F220" s="448">
        <f t="shared" si="4"/>
        <v>2294433.8199999998</v>
      </c>
      <c r="G220" s="448">
        <f>SUM($F$16:F220)</f>
        <v>299242990.94999993</v>
      </c>
      <c r="H220" s="106"/>
      <c r="I220" s="337"/>
    </row>
    <row r="221" spans="1:9" x14ac:dyDescent="0.25">
      <c r="A221" s="135">
        <f t="shared" si="6"/>
        <v>206</v>
      </c>
      <c r="B221" s="137" t="s">
        <v>293</v>
      </c>
      <c r="C221" s="447">
        <v>2015</v>
      </c>
      <c r="D221" s="448">
        <v>627580.82000000007</v>
      </c>
      <c r="E221" s="449">
        <f>'FORM D'!G227</f>
        <v>3.2970107472362029</v>
      </c>
      <c r="F221" s="448">
        <f t="shared" si="4"/>
        <v>2069140.71</v>
      </c>
      <c r="G221" s="448">
        <f>SUM($F$16:F221)</f>
        <v>301312131.65999991</v>
      </c>
      <c r="H221" s="106"/>
      <c r="I221" s="337"/>
    </row>
    <row r="222" spans="1:9" x14ac:dyDescent="0.25">
      <c r="A222" s="135">
        <f t="shared" si="6"/>
        <v>207</v>
      </c>
      <c r="B222" s="137" t="s">
        <v>294</v>
      </c>
      <c r="C222" s="447">
        <v>2015</v>
      </c>
      <c r="D222" s="448">
        <v>678622.69000000006</v>
      </c>
      <c r="E222" s="449">
        <f>'FORM D'!G228</f>
        <v>3.2945469791202608</v>
      </c>
      <c r="F222" s="448">
        <f t="shared" si="4"/>
        <v>2235754.33</v>
      </c>
      <c r="G222" s="448">
        <f>SUM($F$16:F222)</f>
        <v>303547885.98999989</v>
      </c>
      <c r="H222" s="106"/>
      <c r="I222" s="337"/>
    </row>
    <row r="223" spans="1:9" x14ac:dyDescent="0.25">
      <c r="A223" s="135">
        <f t="shared" si="6"/>
        <v>208</v>
      </c>
      <c r="B223" s="137" t="s">
        <v>295</v>
      </c>
      <c r="C223" s="447">
        <v>2016</v>
      </c>
      <c r="D223" s="448">
        <v>687768.41</v>
      </c>
      <c r="E223" s="449">
        <f>'FORM D'!G229</f>
        <v>3.2297134697615797</v>
      </c>
      <c r="F223" s="448">
        <f t="shared" si="4"/>
        <v>2221294.9</v>
      </c>
      <c r="G223" s="448">
        <f>SUM($F$16:F223)</f>
        <v>305769180.88999987</v>
      </c>
      <c r="H223" s="106"/>
      <c r="I223" s="337"/>
    </row>
    <row r="224" spans="1:9" x14ac:dyDescent="0.25">
      <c r="A224" s="135">
        <f t="shared" si="6"/>
        <v>209</v>
      </c>
      <c r="B224" s="137" t="s">
        <v>296</v>
      </c>
      <c r="C224" s="447">
        <v>2016</v>
      </c>
      <c r="D224" s="448">
        <v>679316.70000000007</v>
      </c>
      <c r="E224" s="449">
        <f>'FORM D'!G230</f>
        <v>3.1582641943992611</v>
      </c>
      <c r="F224" s="448">
        <f t="shared" si="4"/>
        <v>2145461.61</v>
      </c>
      <c r="G224" s="448">
        <f>SUM($F$16:F224)</f>
        <v>307914642.49999988</v>
      </c>
      <c r="H224" s="106"/>
      <c r="I224" s="337"/>
    </row>
    <row r="225" spans="1:9" x14ac:dyDescent="0.25">
      <c r="A225" s="135">
        <f t="shared" si="6"/>
        <v>210</v>
      </c>
      <c r="B225" s="137" t="s">
        <v>297</v>
      </c>
      <c r="C225" s="447">
        <v>2016</v>
      </c>
      <c r="D225" s="448">
        <v>657881.89</v>
      </c>
      <c r="E225" s="449">
        <f>'FORM D'!G231</f>
        <v>3.1832534861906123</v>
      </c>
      <c r="F225" s="448">
        <f t="shared" si="4"/>
        <v>2094204.82</v>
      </c>
      <c r="G225" s="448">
        <f>SUM($F$16:F225)</f>
        <v>310008847.31999987</v>
      </c>
      <c r="H225" s="106"/>
      <c r="I225" s="337"/>
    </row>
    <row r="226" spans="1:9" x14ac:dyDescent="0.25">
      <c r="A226" s="135">
        <f t="shared" si="6"/>
        <v>211</v>
      </c>
      <c r="B226" s="137" t="s">
        <v>298</v>
      </c>
      <c r="C226" s="447">
        <v>2016</v>
      </c>
      <c r="D226" s="448">
        <v>688896.76</v>
      </c>
      <c r="E226" s="449">
        <f>'FORM D'!G232</f>
        <v>3.3234052347090652</v>
      </c>
      <c r="F226" s="448">
        <f t="shared" ref="F226:F275" si="7">ROUND(D226*E226,2)</f>
        <v>2289483.1</v>
      </c>
      <c r="G226" s="448">
        <f>SUM($F$16:F226)</f>
        <v>312298330.4199999</v>
      </c>
      <c r="H226" s="106"/>
      <c r="I226" s="337"/>
    </row>
    <row r="227" spans="1:9" x14ac:dyDescent="0.25">
      <c r="A227" s="135">
        <f t="shared" ref="A227:A275" si="8">A226+1</f>
        <v>212</v>
      </c>
      <c r="B227" s="137" t="s">
        <v>299</v>
      </c>
      <c r="C227" s="447">
        <v>2016</v>
      </c>
      <c r="D227" s="448">
        <v>637125.52</v>
      </c>
      <c r="E227" s="449">
        <f>'FORM D'!G233</f>
        <v>3.3209414665931236</v>
      </c>
      <c r="F227" s="448">
        <f t="shared" si="7"/>
        <v>2115856.56</v>
      </c>
      <c r="G227" s="448">
        <f>SUM($F$16:F227)</f>
        <v>314414186.9799999</v>
      </c>
      <c r="H227" s="106"/>
      <c r="I227" s="337"/>
    </row>
    <row r="228" spans="1:9" x14ac:dyDescent="0.25">
      <c r="A228" s="135">
        <f t="shared" si="8"/>
        <v>213</v>
      </c>
      <c r="B228" s="137" t="s">
        <v>300</v>
      </c>
      <c r="C228" s="447">
        <v>2016</v>
      </c>
      <c r="D228" s="448">
        <v>653741.23</v>
      </c>
      <c r="E228" s="449">
        <f>'FORM D'!G234</f>
        <v>3.4071733506510946</v>
      </c>
      <c r="F228" s="448">
        <f t="shared" si="7"/>
        <v>2227409.7000000002</v>
      </c>
      <c r="G228" s="448">
        <f>SUM($F$16:F228)</f>
        <v>316641596.67999989</v>
      </c>
      <c r="H228" s="106"/>
      <c r="I228" s="337"/>
    </row>
    <row r="229" spans="1:9" x14ac:dyDescent="0.25">
      <c r="A229" s="135">
        <f t="shared" si="8"/>
        <v>214</v>
      </c>
      <c r="B229" s="137" t="s">
        <v>289</v>
      </c>
      <c r="C229" s="447">
        <v>2016</v>
      </c>
      <c r="D229" s="448">
        <v>664642.23</v>
      </c>
      <c r="E229" s="449">
        <f>'FORM D'!G235</f>
        <v>3.5717438358231584</v>
      </c>
      <c r="F229" s="448">
        <f t="shared" si="7"/>
        <v>2373931.79</v>
      </c>
      <c r="G229" s="448">
        <f>SUM($F$16:F229)</f>
        <v>319015528.46999991</v>
      </c>
      <c r="H229" s="106"/>
      <c r="I229" s="337"/>
    </row>
    <row r="230" spans="1:9" x14ac:dyDescent="0.25">
      <c r="A230" s="135">
        <f t="shared" si="8"/>
        <v>215</v>
      </c>
      <c r="B230" s="137" t="s">
        <v>290</v>
      </c>
      <c r="C230" s="447">
        <v>2016</v>
      </c>
      <c r="D230" s="448">
        <v>662465.77</v>
      </c>
      <c r="E230" s="449">
        <f>'FORM D'!G236</f>
        <v>3.4855119517651869</v>
      </c>
      <c r="F230" s="448">
        <f t="shared" si="7"/>
        <v>2309032.36</v>
      </c>
      <c r="G230" s="448">
        <f>SUM($F$16:F230)</f>
        <v>321324560.82999992</v>
      </c>
      <c r="H230" s="106"/>
      <c r="I230" s="337"/>
    </row>
    <row r="231" spans="1:9" x14ac:dyDescent="0.25">
      <c r="A231" s="135">
        <f t="shared" si="8"/>
        <v>216</v>
      </c>
      <c r="B231" s="137" t="s">
        <v>291</v>
      </c>
      <c r="C231" s="447">
        <v>2016</v>
      </c>
      <c r="D231" s="448">
        <v>656620.81000000006</v>
      </c>
      <c r="E231" s="449">
        <f>'FORM D'!G237</f>
        <v>3.4313090532144623</v>
      </c>
      <c r="F231" s="448">
        <f t="shared" si="7"/>
        <v>2253068.9300000002</v>
      </c>
      <c r="G231" s="448">
        <f>SUM($F$16:F231)</f>
        <v>323577629.75999993</v>
      </c>
      <c r="H231" s="106"/>
      <c r="I231" s="337"/>
    </row>
    <row r="232" spans="1:9" x14ac:dyDescent="0.25">
      <c r="A232" s="135">
        <f t="shared" si="8"/>
        <v>217</v>
      </c>
      <c r="B232" s="137" t="s">
        <v>292</v>
      </c>
      <c r="C232" s="447">
        <v>2016</v>
      </c>
      <c r="D232" s="448">
        <v>658077.02</v>
      </c>
      <c r="E232" s="449">
        <f>'FORM D'!G238</f>
        <v>3.4584105024898246</v>
      </c>
      <c r="F232" s="448">
        <f t="shared" si="7"/>
        <v>2275900.48</v>
      </c>
      <c r="G232" s="448">
        <f>SUM($F$16:F232)</f>
        <v>325853530.23999995</v>
      </c>
      <c r="H232" s="106"/>
      <c r="I232" s="337"/>
    </row>
    <row r="233" spans="1:9" x14ac:dyDescent="0.25">
      <c r="A233" s="135">
        <f t="shared" si="8"/>
        <v>218</v>
      </c>
      <c r="B233" s="137" t="s">
        <v>293</v>
      </c>
      <c r="C233" s="447">
        <v>2016</v>
      </c>
      <c r="D233" s="448">
        <v>651531.48</v>
      </c>
      <c r="E233" s="449">
        <f>'FORM D'!G239</f>
        <v>3.5298597778521437</v>
      </c>
      <c r="F233" s="448">
        <f t="shared" si="7"/>
        <v>2299814.77</v>
      </c>
      <c r="G233" s="448">
        <f>SUM($F$16:F233)</f>
        <v>328153345.00999993</v>
      </c>
      <c r="H233" s="106"/>
      <c r="I233" s="337"/>
    </row>
    <row r="234" spans="1:9" x14ac:dyDescent="0.25">
      <c r="A234" s="135">
        <f t="shared" si="8"/>
        <v>219</v>
      </c>
      <c r="B234" s="137" t="s">
        <v>294</v>
      </c>
      <c r="C234" s="447">
        <v>2016</v>
      </c>
      <c r="D234" s="448">
        <v>669640.37</v>
      </c>
      <c r="E234" s="449">
        <f>'FORM D'!G240</f>
        <v>3.4929032561130131</v>
      </c>
      <c r="F234" s="448">
        <f t="shared" si="7"/>
        <v>2338989.0299999998</v>
      </c>
      <c r="G234" s="448">
        <f>SUM($F$16:F234)</f>
        <v>330492334.0399999</v>
      </c>
      <c r="H234" s="106"/>
      <c r="I234" s="337"/>
    </row>
    <row r="235" spans="1:9" x14ac:dyDescent="0.25">
      <c r="A235" s="135">
        <f t="shared" si="8"/>
        <v>220</v>
      </c>
      <c r="B235" s="137" t="s">
        <v>295</v>
      </c>
      <c r="C235" s="447">
        <v>2017</v>
      </c>
      <c r="D235" s="448">
        <v>652689.72000000009</v>
      </c>
      <c r="E235" s="449">
        <f>'FORM D'!G241</f>
        <v>3.5372510821999694</v>
      </c>
      <c r="F235" s="448">
        <f t="shared" si="7"/>
        <v>2308727.42</v>
      </c>
      <c r="G235" s="448">
        <f>SUM($F$16:F235)</f>
        <v>332801061.45999992</v>
      </c>
      <c r="H235" s="106"/>
      <c r="I235" s="337"/>
    </row>
    <row r="236" spans="1:9" x14ac:dyDescent="0.25">
      <c r="A236" s="135">
        <f t="shared" si="8"/>
        <v>221</v>
      </c>
      <c r="B236" s="137" t="s">
        <v>296</v>
      </c>
      <c r="C236" s="447">
        <v>2017</v>
      </c>
      <c r="D236" s="448">
        <v>651628.11</v>
      </c>
      <c r="E236" s="449">
        <f>'FORM D'!G242</f>
        <v>3.559424995243448</v>
      </c>
      <c r="F236" s="448">
        <f t="shared" si="7"/>
        <v>2319421.38</v>
      </c>
      <c r="G236" s="448">
        <f>SUM($F$16:F236)</f>
        <v>335120482.83999991</v>
      </c>
      <c r="H236" s="106"/>
      <c r="I236" s="337"/>
    </row>
    <row r="237" spans="1:9" x14ac:dyDescent="0.25">
      <c r="A237" s="135">
        <f t="shared" si="8"/>
        <v>222</v>
      </c>
      <c r="B237" s="137" t="s">
        <v>297</v>
      </c>
      <c r="C237" s="447">
        <v>2017</v>
      </c>
      <c r="D237" s="448">
        <v>539819.84000000008</v>
      </c>
      <c r="E237" s="449">
        <f>'FORM D'!G243</f>
        <v>3.556961227127506</v>
      </c>
      <c r="F237" s="448">
        <f t="shared" si="7"/>
        <v>1920118.24</v>
      </c>
      <c r="G237" s="448">
        <f>SUM($F$16:F237)</f>
        <v>337040601.07999992</v>
      </c>
      <c r="H237" s="106"/>
      <c r="I237" s="337"/>
    </row>
    <row r="238" spans="1:9" x14ac:dyDescent="0.25">
      <c r="A238" s="135">
        <f t="shared" si="8"/>
        <v>223</v>
      </c>
      <c r="B238" s="137" t="s">
        <v>298</v>
      </c>
      <c r="C238" s="447">
        <v>2017</v>
      </c>
      <c r="D238" s="448">
        <v>680515.77</v>
      </c>
      <c r="E238" s="449">
        <f>'FORM D'!G244</f>
        <v>3.5446423865477961</v>
      </c>
      <c r="F238" s="448">
        <f t="shared" si="7"/>
        <v>2412185.04</v>
      </c>
      <c r="G238" s="448">
        <f>SUM($F$16:F238)</f>
        <v>339452786.11999995</v>
      </c>
      <c r="H238" s="106"/>
      <c r="I238" s="337"/>
    </row>
    <row r="239" spans="1:9" x14ac:dyDescent="0.25">
      <c r="A239" s="135">
        <f t="shared" si="8"/>
        <v>224</v>
      </c>
      <c r="B239" s="137" t="s">
        <v>299</v>
      </c>
      <c r="C239" s="447">
        <v>2017</v>
      </c>
      <c r="D239" s="448">
        <v>671305.58</v>
      </c>
      <c r="E239" s="449">
        <f>'FORM D'!G245</f>
        <v>3.5815989082869257</v>
      </c>
      <c r="F239" s="448">
        <f t="shared" si="7"/>
        <v>2404347.33</v>
      </c>
      <c r="G239" s="448">
        <f>SUM($F$16:F239)</f>
        <v>341857133.44999993</v>
      </c>
      <c r="H239" s="106"/>
      <c r="I239" s="337"/>
    </row>
    <row r="240" spans="1:9" x14ac:dyDescent="0.25">
      <c r="A240" s="135">
        <f t="shared" si="8"/>
        <v>225</v>
      </c>
      <c r="B240" s="137" t="s">
        <v>300</v>
      </c>
      <c r="C240" s="447">
        <v>2017</v>
      </c>
      <c r="D240" s="448">
        <v>655265.64</v>
      </c>
      <c r="E240" s="449">
        <f>'FORM D'!G246</f>
        <v>3.5544974590115643</v>
      </c>
      <c r="F240" s="448">
        <f t="shared" si="7"/>
        <v>2329140.0499999998</v>
      </c>
      <c r="G240" s="448">
        <f>SUM($F$16:F240)</f>
        <v>344186273.49999994</v>
      </c>
      <c r="H240" s="106"/>
      <c r="I240" s="337"/>
    </row>
    <row r="241" spans="1:9" x14ac:dyDescent="0.25">
      <c r="A241" s="135">
        <f t="shared" si="8"/>
        <v>226</v>
      </c>
      <c r="B241" s="137" t="s">
        <v>289</v>
      </c>
      <c r="C241" s="447">
        <v>2017</v>
      </c>
      <c r="D241" s="448">
        <v>660940.88</v>
      </c>
      <c r="E241" s="449">
        <f>'FORM D'!G247</f>
        <v>3.5620999984031538</v>
      </c>
      <c r="F241" s="448">
        <f t="shared" si="7"/>
        <v>2354337.5099999998</v>
      </c>
      <c r="G241" s="448">
        <f>SUM($F$16:F241)</f>
        <v>346540611.00999993</v>
      </c>
      <c r="H241" s="106"/>
      <c r="I241" s="337"/>
    </row>
    <row r="242" spans="1:9" x14ac:dyDescent="0.25">
      <c r="A242" s="135">
        <f t="shared" si="8"/>
        <v>227</v>
      </c>
      <c r="B242" s="137" t="s">
        <v>290</v>
      </c>
      <c r="C242" s="447">
        <v>2017</v>
      </c>
      <c r="D242" s="448">
        <v>681800.61</v>
      </c>
      <c r="E242" s="449">
        <f>'FORM D'!G248</f>
        <v>3.5965927520263428</v>
      </c>
      <c r="F242" s="448">
        <f t="shared" si="7"/>
        <v>2452159.13</v>
      </c>
      <c r="G242" s="448">
        <f>SUM($F$16:F242)</f>
        <v>348992770.13999993</v>
      </c>
      <c r="H242" s="106"/>
      <c r="I242" s="337"/>
    </row>
    <row r="243" spans="1:9" x14ac:dyDescent="0.25">
      <c r="A243" s="135">
        <f t="shared" si="8"/>
        <v>228</v>
      </c>
      <c r="B243" s="137" t="s">
        <v>291</v>
      </c>
      <c r="C243" s="447">
        <v>2017</v>
      </c>
      <c r="D243" s="448">
        <v>691062.9</v>
      </c>
      <c r="E243" s="449">
        <f>'FORM D'!G249</f>
        <v>3.6483318824611253</v>
      </c>
      <c r="F243" s="448">
        <f t="shared" si="7"/>
        <v>2521226.81</v>
      </c>
      <c r="G243" s="448">
        <f>SUM($F$16:F243)</f>
        <v>351513996.94999993</v>
      </c>
      <c r="H243" s="106"/>
      <c r="I243" s="337"/>
    </row>
    <row r="244" spans="1:9" x14ac:dyDescent="0.25">
      <c r="A244" s="135">
        <f t="shared" si="8"/>
        <v>229</v>
      </c>
      <c r="B244" s="137" t="s">
        <v>292</v>
      </c>
      <c r="C244" s="447">
        <v>2017</v>
      </c>
      <c r="D244" s="448">
        <v>680181.38</v>
      </c>
      <c r="E244" s="449">
        <f>'FORM D'!G250</f>
        <v>3.6951434766640237</v>
      </c>
      <c r="F244" s="448">
        <f t="shared" si="7"/>
        <v>2513367.79</v>
      </c>
      <c r="G244" s="448">
        <f>SUM($F$16:F244)</f>
        <v>354027364.73999995</v>
      </c>
      <c r="H244" s="106"/>
      <c r="I244" s="337"/>
    </row>
    <row r="245" spans="1:9" x14ac:dyDescent="0.25">
      <c r="A245" s="135">
        <f t="shared" si="8"/>
        <v>230</v>
      </c>
      <c r="B245" s="137" t="s">
        <v>293</v>
      </c>
      <c r="C245" s="447">
        <v>2017</v>
      </c>
      <c r="D245" s="448">
        <v>669144.19000000006</v>
      </c>
      <c r="E245" s="449">
        <f>'FORM D'!G251</f>
        <v>3.7247086940553276</v>
      </c>
      <c r="F245" s="448">
        <f t="shared" si="7"/>
        <v>2492367.1800000002</v>
      </c>
      <c r="G245" s="448">
        <f>SUM($F$16:F245)</f>
        <v>356519731.91999996</v>
      </c>
      <c r="H245" s="106"/>
      <c r="I245" s="337"/>
    </row>
    <row r="246" spans="1:9" x14ac:dyDescent="0.25">
      <c r="A246" s="135">
        <f t="shared" si="8"/>
        <v>231</v>
      </c>
      <c r="B246" s="137" t="s">
        <v>294</v>
      </c>
      <c r="C246" s="447">
        <v>2017</v>
      </c>
      <c r="D246" s="448">
        <v>656557.75</v>
      </c>
      <c r="E246" s="449">
        <f>'FORM D'!G252</f>
        <v>3.7912304331857625</v>
      </c>
      <c r="F246" s="448">
        <f t="shared" si="7"/>
        <v>2489161.7200000002</v>
      </c>
      <c r="G246" s="448">
        <f>SUM($F$16:F246)</f>
        <v>359008893.63999999</v>
      </c>
      <c r="H246" s="106"/>
      <c r="I246" s="337"/>
    </row>
    <row r="247" spans="1:9" x14ac:dyDescent="0.25">
      <c r="A247" s="135">
        <f t="shared" si="8"/>
        <v>232</v>
      </c>
      <c r="B247" s="137" t="s">
        <v>295</v>
      </c>
      <c r="C247" s="447">
        <v>2018</v>
      </c>
      <c r="D247" s="448">
        <v>679081.94000000006</v>
      </c>
      <c r="E247" s="449">
        <f>'FORM D'!G253</f>
        <v>3.7641289839104002</v>
      </c>
      <c r="F247" s="448">
        <f t="shared" si="7"/>
        <v>2556152.0099999998</v>
      </c>
      <c r="G247" s="448">
        <f>SUM($F$16:F247)</f>
        <v>361565045.64999998</v>
      </c>
      <c r="H247" s="106"/>
      <c r="I247" s="337"/>
    </row>
    <row r="248" spans="1:9" x14ac:dyDescent="0.25">
      <c r="A248" s="135">
        <f t="shared" si="8"/>
        <v>233</v>
      </c>
      <c r="B248" s="137" t="s">
        <v>296</v>
      </c>
      <c r="C248" s="447">
        <v>2018</v>
      </c>
      <c r="D248" s="448">
        <v>606416.06000000006</v>
      </c>
      <c r="E248" s="449">
        <f>'FORM D'!G254</f>
        <v>3.7419550708669216</v>
      </c>
      <c r="F248" s="448">
        <f t="shared" si="7"/>
        <v>2269181.65</v>
      </c>
      <c r="G248" s="448">
        <f>SUM($F$16:F248)</f>
        <v>363834227.29999995</v>
      </c>
      <c r="H248" s="106"/>
      <c r="I248" s="337"/>
    </row>
    <row r="249" spans="1:9" x14ac:dyDescent="0.25">
      <c r="A249" s="135">
        <f t="shared" si="8"/>
        <v>234</v>
      </c>
      <c r="B249" s="137" t="s">
        <v>297</v>
      </c>
      <c r="C249" s="447">
        <v>2018</v>
      </c>
      <c r="D249" s="448">
        <v>630676.07000000007</v>
      </c>
      <c r="E249" s="449">
        <f>'FORM D'!G255</f>
        <v>3.6926797085480816</v>
      </c>
      <c r="F249" s="448">
        <f t="shared" si="7"/>
        <v>2328884.73</v>
      </c>
      <c r="G249" s="448">
        <f>SUM($F$16:F249)</f>
        <v>366163112.02999997</v>
      </c>
      <c r="H249" s="106"/>
      <c r="I249" s="337"/>
    </row>
    <row r="250" spans="1:9" x14ac:dyDescent="0.25">
      <c r="A250" s="135">
        <f t="shared" si="8"/>
        <v>235</v>
      </c>
      <c r="B250" s="137" t="s">
        <v>298</v>
      </c>
      <c r="C250" s="447">
        <v>2018</v>
      </c>
      <c r="D250" s="448">
        <v>659300.27</v>
      </c>
      <c r="E250" s="449">
        <f>'FORM D'!G256</f>
        <v>3.7616652157944581</v>
      </c>
      <c r="F250" s="448">
        <f t="shared" si="7"/>
        <v>2480066.89</v>
      </c>
      <c r="G250" s="448">
        <f>SUM($F$16:F250)</f>
        <v>368643178.91999996</v>
      </c>
      <c r="H250" s="106"/>
      <c r="I250" s="337"/>
    </row>
    <row r="251" spans="1:9" x14ac:dyDescent="0.25">
      <c r="A251" s="135">
        <f t="shared" si="8"/>
        <v>236</v>
      </c>
      <c r="B251" s="137" t="s">
        <v>299</v>
      </c>
      <c r="C251" s="447">
        <v>2018</v>
      </c>
      <c r="D251" s="448">
        <v>674160.95000000007</v>
      </c>
      <c r="E251" s="449">
        <f>'FORM D'!G257</f>
        <v>3.8380420273886613</v>
      </c>
      <c r="F251" s="448">
        <f t="shared" si="7"/>
        <v>2587458.06</v>
      </c>
      <c r="G251" s="448">
        <f>SUM($F$16:F251)</f>
        <v>371230636.97999996</v>
      </c>
      <c r="H251" s="106"/>
      <c r="I251" s="337"/>
    </row>
    <row r="252" spans="1:9" x14ac:dyDescent="0.25">
      <c r="A252" s="135">
        <f t="shared" si="8"/>
        <v>237</v>
      </c>
      <c r="B252" s="137" t="s">
        <v>300</v>
      </c>
      <c r="C252" s="447">
        <v>2018</v>
      </c>
      <c r="D252" s="448">
        <v>650895.77</v>
      </c>
      <c r="E252" s="449">
        <f>'FORM D'!G258</f>
        <v>3.9267376795625739</v>
      </c>
      <c r="F252" s="448">
        <f t="shared" si="7"/>
        <v>2555896.9500000002</v>
      </c>
      <c r="G252" s="448">
        <f>SUM($F$16:F252)</f>
        <v>373786533.92999995</v>
      </c>
      <c r="H252" s="106"/>
      <c r="I252" s="337"/>
    </row>
    <row r="253" spans="1:9" x14ac:dyDescent="0.25">
      <c r="A253" s="135">
        <f t="shared" si="8"/>
        <v>238</v>
      </c>
      <c r="B253" s="137" t="s">
        <v>289</v>
      </c>
      <c r="C253" s="447">
        <v>2018</v>
      </c>
      <c r="D253" s="448">
        <v>678396.7200000002</v>
      </c>
      <c r="E253" s="449">
        <f>'FORM D'!G259</f>
        <v>4.0330406052307648</v>
      </c>
      <c r="F253" s="448">
        <f t="shared" si="7"/>
        <v>2736001.52</v>
      </c>
      <c r="G253" s="448">
        <f>SUM($F$16:F253)</f>
        <v>376522535.44999993</v>
      </c>
      <c r="H253" s="106"/>
      <c r="I253" s="337"/>
    </row>
    <row r="254" spans="1:9" x14ac:dyDescent="0.25">
      <c r="A254" s="135">
        <f t="shared" si="8"/>
        <v>239</v>
      </c>
      <c r="B254" s="137" t="s">
        <v>290</v>
      </c>
      <c r="C254" s="447">
        <v>2018</v>
      </c>
      <c r="D254" s="448">
        <v>673940.36</v>
      </c>
      <c r="E254" s="449">
        <f>'FORM D'!G260</f>
        <v>4.0281130689988807</v>
      </c>
      <c r="F254" s="448">
        <f t="shared" si="7"/>
        <v>2714707.97</v>
      </c>
      <c r="G254" s="448">
        <f>SUM($F$16:F254)</f>
        <v>379237243.41999996</v>
      </c>
      <c r="H254" s="106"/>
      <c r="I254" s="337"/>
    </row>
    <row r="255" spans="1:9" x14ac:dyDescent="0.25">
      <c r="A255" s="135">
        <f t="shared" si="8"/>
        <v>240</v>
      </c>
      <c r="B255" s="137" t="s">
        <v>291</v>
      </c>
      <c r="C255" s="447">
        <v>2018</v>
      </c>
      <c r="D255" s="448">
        <v>672923.81</v>
      </c>
      <c r="E255" s="449">
        <f>'FORM D'!G261</f>
        <v>4.0281130689988807</v>
      </c>
      <c r="F255" s="448">
        <f t="shared" si="7"/>
        <v>2710613.19</v>
      </c>
      <c r="G255" s="448">
        <f>SUM($F$16:F255)</f>
        <v>381947856.60999995</v>
      </c>
      <c r="H255" s="106"/>
      <c r="I255" s="337"/>
    </row>
    <row r="256" spans="1:9" x14ac:dyDescent="0.25">
      <c r="A256" s="135">
        <f t="shared" si="8"/>
        <v>241</v>
      </c>
      <c r="B256" s="137" t="s">
        <v>292</v>
      </c>
      <c r="C256" s="447">
        <v>2018</v>
      </c>
      <c r="D256" s="448">
        <v>633167.24</v>
      </c>
      <c r="E256" s="449">
        <f>'FORM D'!G262</f>
        <v>4.1710116197235187</v>
      </c>
      <c r="F256" s="448">
        <f t="shared" si="7"/>
        <v>2640947.92</v>
      </c>
      <c r="G256" s="448">
        <f>SUM($F$16:F256)</f>
        <v>384588804.52999997</v>
      </c>
      <c r="H256" s="106"/>
      <c r="I256" s="337"/>
    </row>
    <row r="257" spans="1:9" x14ac:dyDescent="0.25">
      <c r="A257" s="135">
        <f t="shared" si="8"/>
        <v>242</v>
      </c>
      <c r="B257" s="137" t="s">
        <v>293</v>
      </c>
      <c r="C257" s="447">
        <v>2018</v>
      </c>
      <c r="D257" s="448">
        <v>662081.39</v>
      </c>
      <c r="E257" s="449">
        <f>'FORM D'!G263</f>
        <v>4.2276782863901854</v>
      </c>
      <c r="F257" s="448">
        <f t="shared" si="7"/>
        <v>2799067.12</v>
      </c>
      <c r="G257" s="448">
        <f>SUM($F$16:F257)</f>
        <v>387387871.64999998</v>
      </c>
      <c r="H257" s="106"/>
      <c r="I257" s="337"/>
    </row>
    <row r="258" spans="1:9" x14ac:dyDescent="0.25">
      <c r="A258" s="135">
        <f t="shared" si="8"/>
        <v>243</v>
      </c>
      <c r="B258" s="137" t="s">
        <v>294</v>
      </c>
      <c r="C258" s="447">
        <v>2018</v>
      </c>
      <c r="D258" s="448">
        <v>651447.47000000009</v>
      </c>
      <c r="E258" s="449">
        <f>'FORM D'!G264</f>
        <v>4.0478232139264172</v>
      </c>
      <c r="F258" s="448">
        <f t="shared" si="7"/>
        <v>2636944.19</v>
      </c>
      <c r="G258" s="448">
        <f>SUM($F$16:F258)</f>
        <v>390024815.83999997</v>
      </c>
      <c r="H258" s="106"/>
      <c r="I258" s="337"/>
    </row>
    <row r="259" spans="1:9" x14ac:dyDescent="0.25">
      <c r="A259" s="135">
        <f t="shared" si="8"/>
        <v>244</v>
      </c>
      <c r="B259" s="137" t="s">
        <v>295</v>
      </c>
      <c r="C259" s="447">
        <v>2019</v>
      </c>
      <c r="D259" s="448">
        <v>672803.14</v>
      </c>
      <c r="E259" s="449">
        <f>'FORM D'!G265</f>
        <v>3.8704319095785911</v>
      </c>
      <c r="F259" s="448">
        <f t="shared" si="7"/>
        <v>2604038.7400000002</v>
      </c>
      <c r="G259" s="448">
        <f>SUM($F$16:F259)</f>
        <v>392628854.57999998</v>
      </c>
      <c r="H259" s="106"/>
      <c r="I259" s="337"/>
    </row>
    <row r="260" spans="1:9" x14ac:dyDescent="0.25">
      <c r="A260" s="135">
        <f t="shared" si="8"/>
        <v>245</v>
      </c>
      <c r="B260" s="137" t="s">
        <v>296</v>
      </c>
      <c r="C260" s="447">
        <v>2019</v>
      </c>
      <c r="D260" s="448">
        <v>654083.13</v>
      </c>
      <c r="E260" s="449">
        <f>'FORM D'!G266</f>
        <v>3.8728956776945336</v>
      </c>
      <c r="F260" s="448">
        <f t="shared" si="7"/>
        <v>2533195.73</v>
      </c>
      <c r="G260" s="448">
        <f>SUM($F$16:F260)</f>
        <v>395162050.31</v>
      </c>
      <c r="H260" s="106"/>
      <c r="I260" s="337"/>
    </row>
    <row r="261" spans="1:9" x14ac:dyDescent="0.25">
      <c r="A261" s="135">
        <f t="shared" si="8"/>
        <v>246</v>
      </c>
      <c r="B261" s="137" t="s">
        <v>297</v>
      </c>
      <c r="C261" s="447">
        <v>2019</v>
      </c>
      <c r="D261" s="448">
        <v>648789.87</v>
      </c>
      <c r="E261" s="449">
        <f>'FORM D'!G267</f>
        <v>3.9788377066800402</v>
      </c>
      <c r="F261" s="448">
        <f t="shared" si="7"/>
        <v>2581429.6</v>
      </c>
      <c r="G261" s="448">
        <f>SUM($F$16:F261)</f>
        <v>397743479.91000003</v>
      </c>
      <c r="H261" s="106"/>
      <c r="I261" s="337"/>
    </row>
    <row r="262" spans="1:9" x14ac:dyDescent="0.25">
      <c r="A262" s="135">
        <f t="shared" si="8"/>
        <v>247</v>
      </c>
      <c r="B262" s="137" t="s">
        <v>298</v>
      </c>
      <c r="C262" s="447">
        <v>2019</v>
      </c>
      <c r="D262" s="448">
        <v>657416.15</v>
      </c>
      <c r="E262" s="449">
        <f>'FORM D'!G268</f>
        <v>4.0675333588539537</v>
      </c>
      <c r="F262" s="448">
        <f t="shared" si="7"/>
        <v>2674062.12</v>
      </c>
      <c r="G262" s="448">
        <f>SUM($F$16:F262)</f>
        <v>400417542.03000003</v>
      </c>
      <c r="H262" s="106"/>
      <c r="I262" s="337"/>
    </row>
    <row r="263" spans="1:9" x14ac:dyDescent="0.25">
      <c r="A263" s="135">
        <f t="shared" si="8"/>
        <v>248</v>
      </c>
      <c r="B263" s="137" t="s">
        <v>299</v>
      </c>
      <c r="C263" s="447">
        <v>2019</v>
      </c>
      <c r="D263" s="448">
        <v>664718.86</v>
      </c>
      <c r="E263" s="449">
        <f>'FORM D'!G269</f>
        <v>4.0699971269698949</v>
      </c>
      <c r="F263" s="448">
        <f t="shared" si="7"/>
        <v>2705403.85</v>
      </c>
      <c r="G263" s="448">
        <f>SUM($F$16:F263)</f>
        <v>403122945.88000005</v>
      </c>
      <c r="H263" s="106"/>
      <c r="I263" s="337"/>
    </row>
    <row r="264" spans="1:9" x14ac:dyDescent="0.25">
      <c r="A264" s="135">
        <f t="shared" si="8"/>
        <v>249</v>
      </c>
      <c r="B264" s="137" t="s">
        <v>300</v>
      </c>
      <c r="C264" s="447">
        <v>2019</v>
      </c>
      <c r="D264" s="448">
        <v>674708.2100000002</v>
      </c>
      <c r="E264" s="449">
        <f>'FORM D'!G270</f>
        <v>4.1069536487090259</v>
      </c>
      <c r="F264" s="448">
        <f t="shared" si="7"/>
        <v>2770995.34</v>
      </c>
      <c r="G264" s="448">
        <f>SUM($F$16:F264)</f>
        <v>405893941.22000003</v>
      </c>
      <c r="H264" s="106"/>
      <c r="I264" s="337"/>
    </row>
    <row r="265" spans="1:9" x14ac:dyDescent="0.25">
      <c r="A265" s="135">
        <f t="shared" si="8"/>
        <v>250</v>
      </c>
      <c r="B265" s="137" t="s">
        <v>289</v>
      </c>
      <c r="C265" s="447">
        <v>2019</v>
      </c>
      <c r="D265" s="448">
        <v>644616.47000000009</v>
      </c>
      <c r="E265" s="449">
        <f>'FORM D'!G271</f>
        <v>4.1095292533426946</v>
      </c>
      <c r="F265" s="448">
        <f t="shared" si="7"/>
        <v>2649070.2400000002</v>
      </c>
      <c r="G265" s="448">
        <f>SUM($F$16:F265)</f>
        <v>408543011.46000004</v>
      </c>
      <c r="H265" s="106"/>
      <c r="I265" s="337"/>
    </row>
    <row r="266" spans="1:9" x14ac:dyDescent="0.25">
      <c r="A266" s="135">
        <f t="shared" si="8"/>
        <v>251</v>
      </c>
      <c r="B266" s="137" t="s">
        <v>290</v>
      </c>
      <c r="C266" s="447">
        <v>2019</v>
      </c>
      <c r="D266" s="448">
        <v>678009.29</v>
      </c>
      <c r="E266" s="449">
        <f>'FORM D'!G272</f>
        <v>4.092282876531101</v>
      </c>
      <c r="F266" s="448">
        <f t="shared" si="7"/>
        <v>2774605.81</v>
      </c>
      <c r="G266" s="448">
        <f>SUM($F$16:F266)</f>
        <v>411317617.27000004</v>
      </c>
      <c r="H266" s="106"/>
      <c r="I266" s="337"/>
    </row>
    <row r="267" spans="1:9" x14ac:dyDescent="0.25">
      <c r="A267" s="135">
        <f t="shared" si="8"/>
        <v>252</v>
      </c>
      <c r="B267" s="137" t="s">
        <v>291</v>
      </c>
      <c r="C267" s="447">
        <v>2019</v>
      </c>
      <c r="D267" s="448">
        <v>681016.19000000006</v>
      </c>
      <c r="E267" s="449">
        <f>'FORM D'!G273</f>
        <v>4.1218480939224058</v>
      </c>
      <c r="F267" s="448">
        <f t="shared" si="7"/>
        <v>2807045.28</v>
      </c>
      <c r="G267" s="448">
        <f>SUM($F$16:F267)</f>
        <v>414124662.55000001</v>
      </c>
      <c r="H267" s="106"/>
      <c r="I267" s="337"/>
    </row>
    <row r="268" spans="1:9" x14ac:dyDescent="0.25">
      <c r="A268" s="135">
        <f t="shared" si="8"/>
        <v>253</v>
      </c>
      <c r="B268" s="137" t="s">
        <v>292</v>
      </c>
      <c r="C268" s="447">
        <v>2019</v>
      </c>
      <c r="D268" s="448">
        <v>642809.27</v>
      </c>
      <c r="E268" s="449">
        <f>'FORM D'!G274</f>
        <v>4.1514133113137088</v>
      </c>
      <c r="F268" s="448">
        <f t="shared" si="7"/>
        <v>2668566.96</v>
      </c>
      <c r="G268" s="448">
        <f>SUM($F$16:F268)</f>
        <v>416793229.50999999</v>
      </c>
      <c r="H268" s="106"/>
      <c r="I268" s="337"/>
    </row>
    <row r="269" spans="1:9" x14ac:dyDescent="0.25">
      <c r="A269" s="135">
        <f t="shared" si="8"/>
        <v>254</v>
      </c>
      <c r="B269" s="137" t="s">
        <v>293</v>
      </c>
      <c r="C269" s="447">
        <v>2019</v>
      </c>
      <c r="D269" s="448">
        <v>653859.67000000004</v>
      </c>
      <c r="E269" s="449">
        <f>'FORM D'!G275</f>
        <v>4.1317031663861723</v>
      </c>
      <c r="F269" s="448">
        <f t="shared" si="7"/>
        <v>2701554.07</v>
      </c>
      <c r="G269" s="448">
        <f>SUM($F$16:F269)</f>
        <v>419494783.57999998</v>
      </c>
      <c r="H269" s="106"/>
      <c r="I269" s="337"/>
    </row>
    <row r="270" spans="1:9" x14ac:dyDescent="0.25">
      <c r="A270" s="135">
        <f t="shared" si="8"/>
        <v>255</v>
      </c>
      <c r="B270" s="137" t="s">
        <v>294</v>
      </c>
      <c r="C270" s="447">
        <v>2019</v>
      </c>
      <c r="D270" s="448">
        <v>642114.42000000004</v>
      </c>
      <c r="E270" s="449">
        <f>'FORM D'!G276</f>
        <v>4.1169205576905217</v>
      </c>
      <c r="F270" s="448">
        <f t="shared" si="7"/>
        <v>2643534.06</v>
      </c>
      <c r="G270" s="448">
        <f>SUM($F$16:F270)</f>
        <v>422138317.63999999</v>
      </c>
      <c r="H270" s="106"/>
      <c r="I270" s="337"/>
    </row>
    <row r="271" spans="1:9" x14ac:dyDescent="0.25">
      <c r="A271" s="135">
        <f t="shared" si="8"/>
        <v>256</v>
      </c>
      <c r="B271" s="137" t="s">
        <v>295</v>
      </c>
      <c r="C271" s="447">
        <v>2020</v>
      </c>
      <c r="D271" s="448">
        <v>680310.35</v>
      </c>
      <c r="E271" s="449">
        <f>'FORM D'!G277</f>
        <v>4.1267756301542891</v>
      </c>
      <c r="F271" s="448">
        <f t="shared" si="7"/>
        <v>2807488.17</v>
      </c>
      <c r="G271" s="448">
        <f>SUM($F$16:F271)</f>
        <v>424945805.81</v>
      </c>
      <c r="H271" s="106"/>
      <c r="I271" s="337"/>
    </row>
    <row r="272" spans="1:9" x14ac:dyDescent="0.25">
      <c r="A272" s="135">
        <f t="shared" si="8"/>
        <v>257</v>
      </c>
      <c r="B272" s="137" t="s">
        <v>296</v>
      </c>
      <c r="C272" s="447">
        <v>2020</v>
      </c>
      <c r="D272" s="448">
        <v>685432.87</v>
      </c>
      <c r="E272" s="449">
        <f>'FORM D'!G278</f>
        <v>4.1193843258064629</v>
      </c>
      <c r="F272" s="448">
        <f t="shared" si="7"/>
        <v>2823561.42</v>
      </c>
      <c r="G272" s="448">
        <f>SUM($F$16:F272)</f>
        <v>427769367.23000002</v>
      </c>
      <c r="H272" s="106"/>
      <c r="I272" s="337"/>
    </row>
    <row r="273" spans="1:11" x14ac:dyDescent="0.25">
      <c r="A273" s="135">
        <f t="shared" si="8"/>
        <v>258</v>
      </c>
      <c r="B273" s="137" t="s">
        <v>297</v>
      </c>
      <c r="C273" s="447">
        <v>2020</v>
      </c>
      <c r="D273" s="448">
        <v>644531.20000000007</v>
      </c>
      <c r="E273" s="449">
        <f>'FORM D'!G279</f>
        <v>4.0602538910238541</v>
      </c>
      <c r="F273" s="448">
        <f t="shared" si="7"/>
        <v>2616960.31</v>
      </c>
      <c r="G273" s="448">
        <f>SUM($F$16:F273)</f>
        <v>430386327.54000002</v>
      </c>
      <c r="H273" s="106"/>
      <c r="I273" s="337"/>
    </row>
    <row r="274" spans="1:11" x14ac:dyDescent="0.25">
      <c r="A274" s="135">
        <f t="shared" si="8"/>
        <v>259</v>
      </c>
      <c r="B274" s="137" t="s">
        <v>298</v>
      </c>
      <c r="C274" s="447">
        <v>2020</v>
      </c>
      <c r="D274" s="448">
        <v>426594.53</v>
      </c>
      <c r="E274" s="449">
        <f>'FORM D'!G280</f>
        <v>3.9025727316035645</v>
      </c>
      <c r="F274" s="448">
        <f t="shared" si="7"/>
        <v>1664816.18</v>
      </c>
      <c r="G274" s="448">
        <f>SUM($F$16:F274)</f>
        <v>432051143.72000003</v>
      </c>
      <c r="H274" s="106"/>
      <c r="I274" s="337"/>
    </row>
    <row r="275" spans="1:11" x14ac:dyDescent="0.25">
      <c r="A275" s="135">
        <f t="shared" si="8"/>
        <v>260</v>
      </c>
      <c r="B275" s="137" t="s">
        <v>299</v>
      </c>
      <c r="C275" s="447">
        <v>2020</v>
      </c>
      <c r="D275" s="448">
        <v>600823.57999999996</v>
      </c>
      <c r="E275" s="449">
        <f>'FORM D'!G281</f>
        <v>3.722718</v>
      </c>
      <c r="F275" s="448">
        <f t="shared" si="7"/>
        <v>2236696.7599999998</v>
      </c>
      <c r="G275" s="448">
        <f>SUM($F$16:F275)</f>
        <v>434287840.48000002</v>
      </c>
      <c r="H275" s="1"/>
    </row>
    <row r="276" spans="1:11" x14ac:dyDescent="0.25">
      <c r="A276" s="135">
        <v>261</v>
      </c>
      <c r="B276" s="137" t="s">
        <v>300</v>
      </c>
      <c r="C276" s="447">
        <v>2020</v>
      </c>
      <c r="D276" s="448">
        <v>647117.67000000004</v>
      </c>
      <c r="E276" s="449">
        <f>'FORM D'!G282</f>
        <v>3.7448920000000001</v>
      </c>
      <c r="F276" s="448">
        <f>ROUNDUP(D276*E276,2)</f>
        <v>2423385.7899999996</v>
      </c>
      <c r="G276" s="448">
        <f>SUM($F$16:F276)</f>
        <v>436711226.27000004</v>
      </c>
      <c r="H276" s="1"/>
    </row>
    <row r="277" spans="1:11" x14ac:dyDescent="0.25">
      <c r="A277" s="136">
        <v>262</v>
      </c>
      <c r="B277" s="137" t="s">
        <v>289</v>
      </c>
      <c r="C277" s="447">
        <v>2020</v>
      </c>
      <c r="D277" s="448">
        <v>646491.71000000008</v>
      </c>
      <c r="E277" s="449">
        <f>'FORM D'!G283</f>
        <v>3.9395289999999998</v>
      </c>
      <c r="F277" s="448">
        <f t="shared" ref="F277:F282" si="9">ROUND(D277*E277,2)</f>
        <v>2546872.84</v>
      </c>
      <c r="G277" s="448">
        <f>SUM($F$16:F277)</f>
        <v>439258099.11000001</v>
      </c>
      <c r="H277" s="1"/>
    </row>
    <row r="278" spans="1:11" x14ac:dyDescent="0.25">
      <c r="A278" s="136">
        <v>263</v>
      </c>
      <c r="B278" s="137" t="s">
        <v>290</v>
      </c>
      <c r="C278" s="447">
        <v>2020</v>
      </c>
      <c r="D278" s="448">
        <v>661473.12</v>
      </c>
      <c r="E278" s="449">
        <f>'FORM D'!G284</f>
        <v>3.9912679999999998</v>
      </c>
      <c r="F278" s="448">
        <f t="shared" si="9"/>
        <v>2640116.5</v>
      </c>
      <c r="G278" s="448">
        <f>SUM($F$16:F278)</f>
        <v>441898215.61000001</v>
      </c>
      <c r="H278" s="1"/>
    </row>
    <row r="279" spans="1:11" x14ac:dyDescent="0.25">
      <c r="A279" s="136">
        <v>264</v>
      </c>
      <c r="B279" s="137" t="s">
        <v>291</v>
      </c>
      <c r="C279" s="447">
        <v>2020</v>
      </c>
      <c r="D279" s="448">
        <v>653254.93000000005</v>
      </c>
      <c r="E279" s="449">
        <f>'FORM D'!G285</f>
        <v>3.966631</v>
      </c>
      <c r="F279" s="448">
        <f t="shared" si="9"/>
        <v>2591221.2599999998</v>
      </c>
      <c r="G279" s="448">
        <f>SUM($F$16:F279)</f>
        <v>444489436.87</v>
      </c>
      <c r="H279" s="1"/>
    </row>
    <row r="280" spans="1:11" ht="13" x14ac:dyDescent="0.3">
      <c r="A280" s="136">
        <v>265</v>
      </c>
      <c r="B280" s="803" t="s">
        <v>292</v>
      </c>
      <c r="C280" s="447">
        <v>2020</v>
      </c>
      <c r="D280" s="448">
        <v>678400.66999999993</v>
      </c>
      <c r="E280" s="449">
        <f>'FORM D'!G286</f>
        <v>3.8631519999999999</v>
      </c>
      <c r="F280" s="448">
        <f t="shared" si="9"/>
        <v>2620764.91</v>
      </c>
      <c r="G280" s="448">
        <f>SUM($F$16:F280)</f>
        <v>447110201.78000003</v>
      </c>
      <c r="H280" s="1"/>
      <c r="I280" s="877" t="s">
        <v>406</v>
      </c>
      <c r="J280" s="877"/>
      <c r="K280" s="877"/>
    </row>
    <row r="281" spans="1:11" x14ac:dyDescent="0.25">
      <c r="A281" s="136">
        <v>266</v>
      </c>
      <c r="B281" s="803" t="s">
        <v>293</v>
      </c>
      <c r="C281" s="447">
        <v>2020</v>
      </c>
      <c r="D281" s="448">
        <v>656623.74</v>
      </c>
      <c r="E281" s="449">
        <f>'FORM D'!G287</f>
        <v>3.8508339999999999</v>
      </c>
      <c r="F281" s="448">
        <f t="shared" si="9"/>
        <v>2528549.02</v>
      </c>
      <c r="G281" s="448">
        <f>SUM($F$16:F281)</f>
        <v>449638750.80000001</v>
      </c>
      <c r="H281" s="1"/>
      <c r="I281" s="878" t="s">
        <v>407</v>
      </c>
      <c r="J281" s="878" t="s">
        <v>194</v>
      </c>
      <c r="K281" s="878" t="s">
        <v>408</v>
      </c>
    </row>
    <row r="282" spans="1:11" x14ac:dyDescent="0.25">
      <c r="A282" s="136">
        <v>267</v>
      </c>
      <c r="B282" s="803" t="s">
        <v>294</v>
      </c>
      <c r="C282" s="447">
        <v>2020</v>
      </c>
      <c r="D282" s="448">
        <v>693510.16</v>
      </c>
      <c r="E282" s="449">
        <f>'FORM D'!G288</f>
        <v>3.873008</v>
      </c>
      <c r="F282" s="448">
        <f t="shared" si="9"/>
        <v>2685970.4</v>
      </c>
      <c r="G282" s="448">
        <f>SUM($F$16:F282)</f>
        <v>452324721.19999999</v>
      </c>
      <c r="H282" s="1"/>
      <c r="I282" s="878"/>
      <c r="J282" s="878"/>
      <c r="K282" s="878"/>
    </row>
    <row r="283" spans="1:11" ht="13" x14ac:dyDescent="0.3">
      <c r="A283" s="136">
        <v>268</v>
      </c>
      <c r="B283" s="803" t="s">
        <v>295</v>
      </c>
      <c r="C283" s="447">
        <v>2021</v>
      </c>
      <c r="D283" s="448">
        <v>651715.20000000007</v>
      </c>
      <c r="E283" s="449">
        <f>'FORM D'!G289</f>
        <v>3.9346019999999999</v>
      </c>
      <c r="F283" s="448">
        <f t="shared" ref="F283" si="10">ROUND(D283*E283,2)</f>
        <v>2564239.9300000002</v>
      </c>
      <c r="G283" s="448">
        <f>SUM($F$16:F283)</f>
        <v>454888961.13</v>
      </c>
      <c r="H283" s="1"/>
      <c r="I283" s="805">
        <v>684003.83999999997</v>
      </c>
      <c r="J283" s="805">
        <v>-6674.16</v>
      </c>
      <c r="K283" s="806">
        <f>I283+J283</f>
        <v>677329.67999999993</v>
      </c>
    </row>
    <row r="284" spans="1:11" x14ac:dyDescent="0.25">
      <c r="A284" s="136">
        <v>269</v>
      </c>
      <c r="B284" s="803" t="s">
        <v>296</v>
      </c>
      <c r="C284" s="447">
        <v>2021</v>
      </c>
      <c r="D284" s="448">
        <v>629066.58000000007</v>
      </c>
      <c r="E284" s="449">
        <f>'FORM D'!G290</f>
        <v>4.0011229999999998</v>
      </c>
      <c r="F284" s="448">
        <f t="shared" ref="F284" si="11">ROUND(D284*E284,2)</f>
        <v>2516972.7599999998</v>
      </c>
      <c r="G284" s="448">
        <f>SUM($F$16:F284)</f>
        <v>457405933.88999999</v>
      </c>
      <c r="H284" s="1"/>
    </row>
    <row r="285" spans="1:11" ht="13" x14ac:dyDescent="0.3">
      <c r="A285" s="136">
        <v>270</v>
      </c>
      <c r="B285" s="803" t="s">
        <v>297</v>
      </c>
      <c r="C285" s="447">
        <v>2021</v>
      </c>
      <c r="D285" s="807">
        <v>677329.67999999993</v>
      </c>
      <c r="E285" s="449">
        <f>'FORM D'!G291</f>
        <v>4.0651809999999999</v>
      </c>
      <c r="F285" s="448">
        <f t="shared" ref="F285" si="12">ROUND(D285*E285,2)</f>
        <v>2753467.75</v>
      </c>
      <c r="G285" s="448">
        <f>SUM($F$16:F285)</f>
        <v>460159401.63999999</v>
      </c>
      <c r="H285" s="1"/>
    </row>
    <row r="286" spans="1:11" x14ac:dyDescent="0.25">
      <c r="A286" s="136">
        <v>271</v>
      </c>
      <c r="B286" s="803" t="s">
        <v>298</v>
      </c>
      <c r="C286" s="447">
        <v>2021</v>
      </c>
      <c r="D286" s="448">
        <v>661593.74</v>
      </c>
      <c r="E286" s="449">
        <f>'FORM D'!G292</f>
        <v>4.1366310000000004</v>
      </c>
      <c r="F286" s="448">
        <f t="shared" ref="F286" si="13">ROUND(D286*E286,2)</f>
        <v>2736769.17</v>
      </c>
      <c r="G286" s="448">
        <f>SUM($F$16:F286)</f>
        <v>462896170.81</v>
      </c>
      <c r="H286" s="1"/>
    </row>
    <row r="287" spans="1:11" ht="13" x14ac:dyDescent="0.3">
      <c r="A287" s="136">
        <v>272</v>
      </c>
      <c r="B287" s="803" t="s">
        <v>299</v>
      </c>
      <c r="C287" s="447">
        <v>2021</v>
      </c>
      <c r="D287" s="448">
        <v>664256.87</v>
      </c>
      <c r="E287" s="449">
        <f>'FORM D'!G293</f>
        <v>4.1021380000000001</v>
      </c>
      <c r="F287" s="448">
        <f t="shared" ref="F287" si="14">ROUND(D287*E287,2)</f>
        <v>2724873.35</v>
      </c>
      <c r="G287" s="448">
        <f>SUM($F$16:F287)</f>
        <v>465621044.16000003</v>
      </c>
      <c r="H287" s="1"/>
      <c r="I287" s="877" t="s">
        <v>409</v>
      </c>
      <c r="J287" s="877"/>
      <c r="K287" s="877"/>
    </row>
    <row r="288" spans="1:11" x14ac:dyDescent="0.25">
      <c r="A288" s="136">
        <v>273</v>
      </c>
      <c r="B288" s="803" t="s">
        <v>300</v>
      </c>
      <c r="C288" s="447">
        <v>2021</v>
      </c>
      <c r="D288" s="448">
        <v>648082.28</v>
      </c>
      <c r="E288" s="449">
        <f>'FORM D'!G294</f>
        <v>4.1267760000000004</v>
      </c>
      <c r="F288" s="448">
        <f t="shared" ref="F288" si="15">ROUND(D288*E288,2)</f>
        <v>2674490.4</v>
      </c>
      <c r="G288" s="448">
        <f>SUM($F$16:F288)</f>
        <v>468295534.56</v>
      </c>
      <c r="H288" s="1"/>
      <c r="I288" s="878" t="s">
        <v>410</v>
      </c>
      <c r="J288" s="878" t="s">
        <v>411</v>
      </c>
      <c r="K288" s="878" t="s">
        <v>408</v>
      </c>
    </row>
    <row r="289" spans="1:11" x14ac:dyDescent="0.25">
      <c r="A289" s="136">
        <v>274</v>
      </c>
      <c r="B289" s="803" t="s">
        <v>289</v>
      </c>
      <c r="C289" s="447">
        <v>2021</v>
      </c>
      <c r="D289" s="448">
        <v>634633.74000000011</v>
      </c>
      <c r="E289" s="449">
        <f>'FORM D'!G295</f>
        <v>4.2516990000000003</v>
      </c>
      <c r="F289" s="448">
        <f t="shared" ref="F289" si="16">ROUND(D289*E289,2)</f>
        <v>2698271.64</v>
      </c>
      <c r="G289" s="448">
        <f>SUM($F$16:F289)</f>
        <v>470993806.19999999</v>
      </c>
      <c r="H289" s="1"/>
      <c r="I289" s="878"/>
      <c r="J289" s="878"/>
      <c r="K289" s="878"/>
    </row>
    <row r="290" spans="1:11" ht="13" x14ac:dyDescent="0.3">
      <c r="A290" s="136">
        <v>275</v>
      </c>
      <c r="B290" s="803" t="s">
        <v>290</v>
      </c>
      <c r="C290" s="447">
        <v>2021</v>
      </c>
      <c r="D290" s="448">
        <v>665412.64</v>
      </c>
      <c r="E290" s="449">
        <f>'FORM D'!G296</f>
        <v>4.3132929999999998</v>
      </c>
      <c r="F290" s="448">
        <f t="shared" ref="F290" si="17">ROUND(D290*E290,2)</f>
        <v>2870119.68</v>
      </c>
      <c r="G290" s="448">
        <f>SUM($F$16:F290)</f>
        <v>473863925.88</v>
      </c>
      <c r="H290" s="1"/>
      <c r="I290" s="805">
        <v>674246.78</v>
      </c>
      <c r="J290" s="805">
        <v>-17606.350000000093</v>
      </c>
      <c r="K290" s="806">
        <v>656640.42999999993</v>
      </c>
    </row>
    <row r="291" spans="1:11" x14ac:dyDescent="0.25">
      <c r="A291" s="136">
        <v>276</v>
      </c>
      <c r="B291" s="803" t="s">
        <v>291</v>
      </c>
      <c r="C291" s="447">
        <v>2021</v>
      </c>
      <c r="D291" s="448">
        <v>658666.32999999996</v>
      </c>
      <c r="E291" s="449">
        <f>'FORM D'!G297</f>
        <v>4.2985100000000003</v>
      </c>
      <c r="F291" s="448">
        <f t="shared" ref="F291" si="18">ROUND(D291*E291,2)</f>
        <v>2831283.81</v>
      </c>
      <c r="G291" s="448">
        <f>SUM($F$16:F291)</f>
        <v>476695209.69</v>
      </c>
      <c r="H291" s="1"/>
    </row>
    <row r="292" spans="1:11" x14ac:dyDescent="0.25">
      <c r="A292" s="136">
        <v>277</v>
      </c>
      <c r="B292" s="803" t="s">
        <v>292</v>
      </c>
      <c r="C292" s="447">
        <v>2021</v>
      </c>
      <c r="D292" s="448">
        <v>670057.37999999989</v>
      </c>
      <c r="E292" s="449">
        <f>'FORM D'!G298</f>
        <v>4.3231479999999998</v>
      </c>
      <c r="F292" s="448">
        <f t="shared" ref="F292" si="19">ROUND(D292*E292,2)</f>
        <v>2896757.22</v>
      </c>
      <c r="G292" s="448">
        <f>SUM($F$16:F292)</f>
        <v>479591966.91000003</v>
      </c>
      <c r="H292" s="1"/>
    </row>
    <row r="293" spans="1:11" ht="13" x14ac:dyDescent="0.3">
      <c r="A293" s="136">
        <v>278</v>
      </c>
      <c r="B293" s="803" t="s">
        <v>293</v>
      </c>
      <c r="C293" s="447">
        <v>2021</v>
      </c>
      <c r="D293" s="807">
        <v>656640.42999999993</v>
      </c>
      <c r="E293" s="449">
        <f>'FORM D'!G299</f>
        <v>4.4931479999999997</v>
      </c>
      <c r="F293" s="448">
        <f t="shared" ref="F293:F298" si="20">ROUND(D293*E293,2)</f>
        <v>2950382.63</v>
      </c>
      <c r="G293" s="448">
        <f>SUM($F$16:F293)</f>
        <v>482542349.54000002</v>
      </c>
      <c r="H293" s="1"/>
      <c r="I293" s="877" t="s">
        <v>412</v>
      </c>
      <c r="J293" s="877"/>
      <c r="K293" s="877"/>
    </row>
    <row r="294" spans="1:11" x14ac:dyDescent="0.25">
      <c r="A294" s="136">
        <v>279</v>
      </c>
      <c r="B294" s="803" t="s">
        <v>294</v>
      </c>
      <c r="C294" s="447">
        <v>2021</v>
      </c>
      <c r="D294" s="448">
        <v>688748.89999999991</v>
      </c>
      <c r="E294" s="449">
        <f>'FORM D'!G300</f>
        <v>4.5769159999999998</v>
      </c>
      <c r="F294" s="448">
        <f t="shared" si="20"/>
        <v>3152345.86</v>
      </c>
      <c r="G294" s="448">
        <f>SUM($F$16:F294)</f>
        <v>485694695.40000004</v>
      </c>
      <c r="H294" s="1"/>
      <c r="I294" s="878" t="s">
        <v>413</v>
      </c>
      <c r="J294" s="878" t="s">
        <v>194</v>
      </c>
      <c r="K294" s="878" t="s">
        <v>408</v>
      </c>
    </row>
    <row r="295" spans="1:11" x14ac:dyDescent="0.25">
      <c r="A295" s="136">
        <v>280</v>
      </c>
      <c r="B295" s="803" t="s">
        <v>295</v>
      </c>
      <c r="C295" s="447">
        <v>2022</v>
      </c>
      <c r="D295" s="448">
        <v>665270.85</v>
      </c>
      <c r="E295" s="449">
        <f>'FORM D'!G301</f>
        <v>4.498075</v>
      </c>
      <c r="F295" s="448">
        <f t="shared" si="20"/>
        <v>2992438.18</v>
      </c>
      <c r="G295" s="448">
        <f>SUM($F$16:F295)</f>
        <v>488687133.58000004</v>
      </c>
      <c r="H295" s="1"/>
      <c r="I295" s="878"/>
      <c r="J295" s="878"/>
      <c r="K295" s="878"/>
    </row>
    <row r="296" spans="1:11" ht="13" x14ac:dyDescent="0.3">
      <c r="A296" s="136">
        <v>281</v>
      </c>
      <c r="B296" s="803" t="s">
        <v>296</v>
      </c>
      <c r="C296" s="447">
        <v>2022</v>
      </c>
      <c r="D296" s="448">
        <v>664132.74</v>
      </c>
      <c r="E296" s="449">
        <f>'FORM D'!G302</f>
        <v>4.5892350000000004</v>
      </c>
      <c r="F296" s="448">
        <f t="shared" si="20"/>
        <v>3047861.22</v>
      </c>
      <c r="G296" s="448">
        <f>SUM($F$16:F296)</f>
        <v>491734994.80000007</v>
      </c>
      <c r="H296" s="1"/>
      <c r="I296" s="805">
        <v>684003.83999999997</v>
      </c>
      <c r="J296" s="805">
        <v>-1834.47</v>
      </c>
      <c r="K296" s="806">
        <f>I296+J296</f>
        <v>682169.37</v>
      </c>
    </row>
    <row r="297" spans="1:11" ht="13" x14ac:dyDescent="0.3">
      <c r="A297" s="136">
        <v>282</v>
      </c>
      <c r="B297" s="803" t="s">
        <v>297</v>
      </c>
      <c r="C297" s="447">
        <v>2022</v>
      </c>
      <c r="D297" s="807">
        <v>682169.37</v>
      </c>
      <c r="E297" s="449">
        <f>'FORM D'!G303</f>
        <v>4.7567709999999996</v>
      </c>
      <c r="F297" s="448">
        <f t="shared" si="20"/>
        <v>3244923.48</v>
      </c>
      <c r="G297" s="448">
        <f>SUM($F$16:F297)</f>
        <v>494979918.28000009</v>
      </c>
      <c r="H297" s="1"/>
    </row>
    <row r="298" spans="1:11" ht="13" x14ac:dyDescent="0.3">
      <c r="A298" s="136">
        <v>283</v>
      </c>
      <c r="B298" s="803" t="s">
        <v>298</v>
      </c>
      <c r="C298" s="447">
        <v>2022</v>
      </c>
      <c r="D298" s="448">
        <v>654107.23</v>
      </c>
      <c r="E298" s="449">
        <f>'FORM D'!G304</f>
        <v>4.941554</v>
      </c>
      <c r="F298" s="448">
        <f t="shared" si="20"/>
        <v>3232306.2</v>
      </c>
      <c r="G298" s="448">
        <f>SUM($F$16:F298)</f>
        <v>498212224.48000008</v>
      </c>
      <c r="H298" s="1"/>
      <c r="I298" s="877" t="s">
        <v>414</v>
      </c>
      <c r="J298" s="877"/>
      <c r="K298" s="877"/>
    </row>
    <row r="299" spans="1:11" x14ac:dyDescent="0.25">
      <c r="A299" s="136">
        <v>284</v>
      </c>
      <c r="B299" s="803" t="s">
        <v>299</v>
      </c>
      <c r="C299" s="447">
        <v>2022</v>
      </c>
      <c r="D299" s="448">
        <v>663870.5</v>
      </c>
      <c r="E299" s="449">
        <f>'FORM D'!G305</f>
        <v>5.0474959999999998</v>
      </c>
      <c r="F299" s="448">
        <f t="shared" ref="F299" si="21">ROUND(D299*E299,2)</f>
        <v>3350883.69</v>
      </c>
      <c r="G299" s="448">
        <f>SUM($F$16:F299)</f>
        <v>501563108.17000008</v>
      </c>
      <c r="H299" s="1"/>
      <c r="I299" s="878" t="s">
        <v>415</v>
      </c>
      <c r="J299" s="878" t="s">
        <v>194</v>
      </c>
      <c r="K299" s="878" t="s">
        <v>408</v>
      </c>
    </row>
    <row r="300" spans="1:11" x14ac:dyDescent="0.25">
      <c r="A300" s="136">
        <v>285</v>
      </c>
      <c r="B300" s="803" t="s">
        <v>300</v>
      </c>
      <c r="C300" s="447">
        <v>2022</v>
      </c>
      <c r="D300" s="448">
        <v>657777.63</v>
      </c>
      <c r="E300" s="449">
        <f>'FORM D'!G306</f>
        <v>5.1706839999999996</v>
      </c>
      <c r="F300" s="448">
        <f t="shared" ref="F300" si="22">ROUND(D300*E300,2)</f>
        <v>3401160.27</v>
      </c>
      <c r="G300" s="448">
        <f>SUM($F$16:F300)</f>
        <v>504964268.44000006</v>
      </c>
      <c r="H300" s="1"/>
      <c r="I300" s="878"/>
      <c r="J300" s="878"/>
      <c r="K300" s="878"/>
    </row>
    <row r="301" spans="1:11" ht="13" x14ac:dyDescent="0.3">
      <c r="A301" s="136">
        <v>286</v>
      </c>
      <c r="B301" s="803" t="s">
        <v>289</v>
      </c>
      <c r="C301" s="447">
        <v>2022</v>
      </c>
      <c r="D301" s="448">
        <v>678718.35</v>
      </c>
      <c r="E301" s="449">
        <f>'FORM D'!G307</f>
        <v>5.5115059999999998</v>
      </c>
      <c r="F301" s="448">
        <f t="shared" ref="F301" si="23">ROUND(D301*E301,2)</f>
        <v>3740760.26</v>
      </c>
      <c r="G301" s="448">
        <f>SUM($F$16:F301)</f>
        <v>508705028.70000005</v>
      </c>
      <c r="H301" s="1"/>
      <c r="I301" s="805">
        <f>D309</f>
        <v>677014.33</v>
      </c>
      <c r="J301" s="805">
        <v>-5695.61</v>
      </c>
      <c r="K301" s="806">
        <f>I301+J301</f>
        <v>671318.72</v>
      </c>
    </row>
    <row r="302" spans="1:11" x14ac:dyDescent="0.25">
      <c r="A302" s="136">
        <v>287</v>
      </c>
      <c r="B302" s="803" t="s">
        <v>290</v>
      </c>
      <c r="C302" s="447">
        <v>2022</v>
      </c>
      <c r="D302" s="448">
        <v>683130.5</v>
      </c>
      <c r="E302" s="449">
        <f>'FORM D'!G308</f>
        <v>5.4104919999999996</v>
      </c>
      <c r="F302" s="448">
        <f t="shared" ref="F302" si="24">ROUND(D302*E302,2)</f>
        <v>3696072.11</v>
      </c>
      <c r="G302" s="448">
        <f>SUM($F$16:F302)</f>
        <v>512401100.81000006</v>
      </c>
      <c r="H302" s="1"/>
    </row>
    <row r="303" spans="1:11" x14ac:dyDescent="0.25">
      <c r="A303" s="136">
        <v>288</v>
      </c>
      <c r="B303" s="803" t="s">
        <v>291</v>
      </c>
      <c r="C303" s="447">
        <v>2022</v>
      </c>
      <c r="D303" s="448">
        <v>659138.6</v>
      </c>
      <c r="E303" s="449">
        <f>'FORM D'!G309</f>
        <v>5.3513609999999998</v>
      </c>
      <c r="F303" s="448">
        <f t="shared" ref="F303" si="25">ROUND(D303*E303,2)</f>
        <v>3527288.6</v>
      </c>
      <c r="G303" s="448">
        <f>SUM($F$16:F303)</f>
        <v>515928389.41000009</v>
      </c>
      <c r="H303" s="1"/>
    </row>
    <row r="304" spans="1:11" x14ac:dyDescent="0.25">
      <c r="A304" s="136">
        <v>289</v>
      </c>
      <c r="B304" s="803" t="s">
        <v>292</v>
      </c>
      <c r="C304" s="447">
        <v>2022</v>
      </c>
      <c r="D304" s="448">
        <v>679702.8</v>
      </c>
      <c r="E304" s="449">
        <f>'FORM D'!G310</f>
        <v>5.3661440000000002</v>
      </c>
      <c r="F304" s="448">
        <f t="shared" ref="F304" si="26">ROUND(D304*E304,2)</f>
        <v>3647383.1</v>
      </c>
      <c r="G304" s="448">
        <f>SUM($F$16:F304)</f>
        <v>519575772.51000011</v>
      </c>
      <c r="H304" s="1"/>
      <c r="I304" s="828" t="s">
        <v>423</v>
      </c>
    </row>
    <row r="305" spans="1:11" ht="13" x14ac:dyDescent="0.3">
      <c r="A305" s="136">
        <v>290</v>
      </c>
      <c r="B305" s="803" t="s">
        <v>293</v>
      </c>
      <c r="C305" s="447">
        <v>2022</v>
      </c>
      <c r="D305" s="448">
        <v>675591.8600000001</v>
      </c>
      <c r="E305" s="449">
        <f>'FORM D'!G311</f>
        <v>5.5312159999999997</v>
      </c>
      <c r="F305" s="448">
        <f t="shared" ref="F305" si="27">ROUND(D305*E305,2)</f>
        <v>3736844.51</v>
      </c>
      <c r="G305" s="448">
        <f>SUM($F$16:F305)</f>
        <v>523312617.0200001</v>
      </c>
      <c r="H305" s="1"/>
      <c r="I305" s="877" t="s">
        <v>421</v>
      </c>
      <c r="J305" s="877"/>
      <c r="K305" s="877"/>
    </row>
    <row r="306" spans="1:11" x14ac:dyDescent="0.25">
      <c r="A306" s="136">
        <v>291</v>
      </c>
      <c r="B306" s="803" t="s">
        <v>294</v>
      </c>
      <c r="C306" s="447">
        <v>2022</v>
      </c>
      <c r="D306" s="448">
        <v>686252.46</v>
      </c>
      <c r="E306" s="449">
        <f>'FORM D'!G312</f>
        <v>5.3513609999999998</v>
      </c>
      <c r="F306" s="448">
        <f t="shared" ref="F306" si="28">ROUND(D306*E306,2)</f>
        <v>3672384.65</v>
      </c>
      <c r="G306" s="448">
        <f>SUM($F$16:F306)</f>
        <v>526985001.67000008</v>
      </c>
      <c r="H306" s="1"/>
      <c r="I306" s="878" t="s">
        <v>422</v>
      </c>
      <c r="J306" s="878" t="s">
        <v>194</v>
      </c>
      <c r="K306" s="878" t="s">
        <v>408</v>
      </c>
    </row>
    <row r="307" spans="1:11" x14ac:dyDescent="0.25">
      <c r="A307" s="136">
        <v>292</v>
      </c>
      <c r="B307" s="803" t="s">
        <v>295</v>
      </c>
      <c r="C307" s="447">
        <v>2023</v>
      </c>
      <c r="D307" s="448">
        <v>663472.56000000006</v>
      </c>
      <c r="E307" s="449">
        <f>'FORM D'!G313</f>
        <v>5.0384630000000001</v>
      </c>
      <c r="F307" s="448">
        <f t="shared" ref="F307" si="29">ROUND(D307*E307,2)</f>
        <v>3342881.95</v>
      </c>
      <c r="G307" s="448">
        <f>SUM($F$16:F307)</f>
        <v>530327883.62000006</v>
      </c>
      <c r="H307" s="1"/>
      <c r="I307" s="878"/>
      <c r="J307" s="878"/>
      <c r="K307" s="878"/>
    </row>
    <row r="308" spans="1:11" ht="13" x14ac:dyDescent="0.3">
      <c r="A308" s="136">
        <v>293</v>
      </c>
      <c r="B308" s="803" t="s">
        <v>296</v>
      </c>
      <c r="C308" s="447">
        <v>2023</v>
      </c>
      <c r="D308" s="448">
        <v>647192.43000000005</v>
      </c>
      <c r="E308" s="449">
        <f>'FORM D'!G314</f>
        <v>5.0433899999999996</v>
      </c>
      <c r="F308" s="448">
        <f t="shared" ref="F308" si="30">ROUND(D308*E308,2)</f>
        <v>3264043.83</v>
      </c>
      <c r="G308" s="448">
        <f>SUM($F$16:F308)</f>
        <v>533591927.45000005</v>
      </c>
      <c r="H308" s="1"/>
      <c r="I308" s="805">
        <v>618400.41</v>
      </c>
      <c r="J308" s="805">
        <f>'FORM B'!V297</f>
        <v>11393.21</v>
      </c>
      <c r="K308" s="806">
        <f>I308+J308</f>
        <v>629793.62</v>
      </c>
    </row>
    <row r="309" spans="1:11" ht="13" x14ac:dyDescent="0.3">
      <c r="A309" s="136">
        <v>294</v>
      </c>
      <c r="B309" s="803" t="s">
        <v>297</v>
      </c>
      <c r="C309" s="447">
        <v>2023</v>
      </c>
      <c r="D309" s="807">
        <v>677014.33</v>
      </c>
      <c r="E309" s="449">
        <f>'FORM D'!G315</f>
        <v>5.0778829999999999</v>
      </c>
      <c r="F309" s="448">
        <f t="shared" ref="F309" si="31">ROUND(D309*E309,2)</f>
        <v>3437799.56</v>
      </c>
      <c r="G309" s="448">
        <f>SUM($F$16:F309)</f>
        <v>537029727.00999999</v>
      </c>
      <c r="H309" s="1"/>
    </row>
    <row r="310" spans="1:11" x14ac:dyDescent="0.25">
      <c r="A310" s="136">
        <v>295</v>
      </c>
      <c r="B310" s="803" t="s">
        <v>298</v>
      </c>
      <c r="C310" s="447">
        <v>2023</v>
      </c>
      <c r="D310" s="448">
        <v>686386.4800000001</v>
      </c>
      <c r="E310" s="449">
        <f>'FORM D'!G316</f>
        <v>4.9891870000000003</v>
      </c>
      <c r="F310" s="448">
        <f t="shared" ref="F310" si="32">ROUND(D310*E310,2)</f>
        <v>3424510.5</v>
      </c>
      <c r="G310" s="448">
        <f>SUM($F$16:F310)</f>
        <v>540454237.50999999</v>
      </c>
      <c r="H310" s="1"/>
    </row>
    <row r="311" spans="1:11" ht="13" x14ac:dyDescent="0.3">
      <c r="A311" s="136">
        <v>296</v>
      </c>
      <c r="B311" s="803" t="s">
        <v>299</v>
      </c>
      <c r="C311" s="447">
        <v>2023</v>
      </c>
      <c r="D311" s="448">
        <v>675481.44000000006</v>
      </c>
      <c r="E311" s="449">
        <f>'FORM D'!G317</f>
        <v>4.9202019999999997</v>
      </c>
      <c r="F311" s="448">
        <f t="shared" ref="F311" si="33">ROUND(D311*E311,2)</f>
        <v>3323505.13</v>
      </c>
      <c r="G311" s="448">
        <f>SUM($F$16:F311)</f>
        <v>543777742.63999999</v>
      </c>
      <c r="H311" s="1"/>
      <c r="I311" s="877" t="s">
        <v>428</v>
      </c>
      <c r="J311" s="877"/>
      <c r="K311" s="877"/>
    </row>
    <row r="312" spans="1:11" ht="13" x14ac:dyDescent="0.3">
      <c r="A312" s="136">
        <v>297</v>
      </c>
      <c r="B312" s="803" t="s">
        <v>300</v>
      </c>
      <c r="C312" s="447">
        <v>2023</v>
      </c>
      <c r="D312" s="807">
        <v>629793.62</v>
      </c>
      <c r="E312" s="449">
        <f>'FORM D'!G318</f>
        <v>4.9080130000000004</v>
      </c>
      <c r="F312" s="448">
        <f t="shared" ref="F312" si="34">ROUND(D312*E312,2)</f>
        <v>3091035.27</v>
      </c>
      <c r="G312" s="448">
        <f>SUM($F$16:F312)</f>
        <v>546868777.90999997</v>
      </c>
      <c r="H312" s="1"/>
      <c r="I312" s="878" t="s">
        <v>427</v>
      </c>
      <c r="J312" s="878" t="s">
        <v>194</v>
      </c>
      <c r="K312" s="878" t="s">
        <v>408</v>
      </c>
    </row>
    <row r="313" spans="1:11" x14ac:dyDescent="0.25">
      <c r="A313" s="136">
        <v>298</v>
      </c>
      <c r="B313" s="803" t="s">
        <v>289</v>
      </c>
      <c r="C313" s="447">
        <v>2023</v>
      </c>
      <c r="D313" s="448">
        <v>678856.29</v>
      </c>
      <c r="E313" s="449">
        <f>'FORM D'!G319</f>
        <v>4.9252589999999996</v>
      </c>
      <c r="F313" s="448">
        <f t="shared" ref="F313:F318" si="35">ROUND(D313*E313,2)</f>
        <v>3343543.05</v>
      </c>
      <c r="G313" s="448">
        <f>SUM($F$16:F313)</f>
        <v>550212320.95999992</v>
      </c>
      <c r="H313" s="1"/>
      <c r="I313" s="878"/>
      <c r="J313" s="878"/>
      <c r="K313" s="878"/>
    </row>
    <row r="314" spans="1:11" ht="13" x14ac:dyDescent="0.3">
      <c r="A314" s="136">
        <v>299</v>
      </c>
      <c r="B314" s="803" t="s">
        <v>290</v>
      </c>
      <c r="C314" s="447">
        <v>2023</v>
      </c>
      <c r="D314" s="448">
        <v>681197.98</v>
      </c>
      <c r="E314" s="449">
        <f>'FORM D'!G320</f>
        <v>5.0065629999999999</v>
      </c>
      <c r="F314" s="448">
        <f t="shared" si="35"/>
        <v>3410460.6</v>
      </c>
      <c r="G314" s="448">
        <f>SUM($F$16:F314)</f>
        <v>553622781.55999994</v>
      </c>
      <c r="H314" s="1"/>
      <c r="I314" s="805">
        <v>678985.46000000008</v>
      </c>
      <c r="J314" s="805">
        <f>M345</f>
        <v>2363.9</v>
      </c>
      <c r="K314" s="806">
        <f>I314+J314</f>
        <v>681349.3600000001</v>
      </c>
    </row>
    <row r="315" spans="1:11" x14ac:dyDescent="0.25">
      <c r="A315" s="136">
        <v>300</v>
      </c>
      <c r="B315" s="803" t="s">
        <v>291</v>
      </c>
      <c r="C315" s="447">
        <v>2023</v>
      </c>
      <c r="D315" s="448">
        <v>696255.21</v>
      </c>
      <c r="E315" s="449">
        <f>'FORM D'!G321</f>
        <v>5.3268529999999998</v>
      </c>
      <c r="F315" s="448">
        <f t="shared" si="35"/>
        <v>3708849.15</v>
      </c>
      <c r="G315" s="448">
        <f>SUM($F$16:F315)</f>
        <v>557331630.70999992</v>
      </c>
      <c r="H315" s="1"/>
    </row>
    <row r="316" spans="1:11" x14ac:dyDescent="0.25">
      <c r="A316" s="136">
        <v>301</v>
      </c>
      <c r="B316" s="803" t="s">
        <v>292</v>
      </c>
      <c r="C316" s="447">
        <v>2023</v>
      </c>
      <c r="D316" s="448">
        <v>680554.6</v>
      </c>
      <c r="E316" s="449">
        <f>'FORM D'!G322</f>
        <v>5.551056</v>
      </c>
      <c r="F316" s="448">
        <f t="shared" si="35"/>
        <v>3777796.7</v>
      </c>
      <c r="G316" s="448">
        <f>SUM($F$16:F316)</f>
        <v>561109427.40999997</v>
      </c>
      <c r="H316" s="1"/>
    </row>
    <row r="317" spans="1:11" x14ac:dyDescent="0.25">
      <c r="A317" s="136">
        <v>302</v>
      </c>
      <c r="B317" s="803" t="s">
        <v>293</v>
      </c>
      <c r="C317" s="447">
        <v>2023</v>
      </c>
      <c r="D317" s="448">
        <v>674627.51</v>
      </c>
      <c r="E317" s="449">
        <f>'FORM D'!G323</f>
        <v>5.4549690000000002</v>
      </c>
      <c r="F317" s="448">
        <f t="shared" si="35"/>
        <v>3680072.15</v>
      </c>
      <c r="G317" s="448">
        <f>SUM($F$16:F317)</f>
        <v>564789499.55999994</v>
      </c>
      <c r="H317" s="1"/>
    </row>
    <row r="318" spans="1:11" x14ac:dyDescent="0.25">
      <c r="A318" s="136">
        <v>303</v>
      </c>
      <c r="B318" s="803" t="s">
        <v>294</v>
      </c>
      <c r="C318" s="447">
        <v>2023</v>
      </c>
      <c r="D318" s="448">
        <v>695551.71000000008</v>
      </c>
      <c r="E318" s="449">
        <f>'FORM D'!G324</f>
        <v>5.1814910000000003</v>
      </c>
      <c r="F318" s="448">
        <f t="shared" si="35"/>
        <v>3603994.93</v>
      </c>
      <c r="G318" s="448">
        <f>SUM($F$16:F318)</f>
        <v>568393494.48999989</v>
      </c>
      <c r="H318" s="1"/>
    </row>
    <row r="319" spans="1:11" x14ac:dyDescent="0.25">
      <c r="A319" s="136">
        <v>304</v>
      </c>
      <c r="B319" s="803" t="s">
        <v>295</v>
      </c>
      <c r="C319" s="447">
        <v>2024</v>
      </c>
      <c r="D319" s="448">
        <v>682897.33</v>
      </c>
      <c r="E319" s="449">
        <f>'FORM D'!G325</f>
        <v>5.0410560000000002</v>
      </c>
      <c r="F319" s="448">
        <f t="shared" ref="F319" si="36">ROUND(D319*E319,2)</f>
        <v>3442523.68</v>
      </c>
      <c r="G319" s="448">
        <f>SUM($F$16:F319)</f>
        <v>571836018.16999984</v>
      </c>
      <c r="H319" s="1"/>
    </row>
    <row r="320" spans="1:11" x14ac:dyDescent="0.25">
      <c r="A320" s="136">
        <v>305</v>
      </c>
      <c r="B320" s="803" t="s">
        <v>296</v>
      </c>
      <c r="C320" s="447">
        <v>2024</v>
      </c>
      <c r="D320" s="448">
        <v>688105.92999999993</v>
      </c>
      <c r="E320" s="449">
        <f>'FORM D'!G326</f>
        <v>5.1223599999999996</v>
      </c>
      <c r="F320" s="448">
        <f t="shared" ref="F320" si="37">ROUND(D320*E320,2)</f>
        <v>3524726.29</v>
      </c>
      <c r="G320" s="448">
        <f>SUM($F$16:F320)</f>
        <v>575360744.4599998</v>
      </c>
      <c r="H320" s="1"/>
    </row>
    <row r="321" spans="1:8" x14ac:dyDescent="0.25">
      <c r="A321" s="136">
        <v>306</v>
      </c>
      <c r="B321" s="803" t="s">
        <v>297</v>
      </c>
      <c r="C321" s="447">
        <v>2024</v>
      </c>
      <c r="D321" s="448">
        <v>676621.56</v>
      </c>
      <c r="E321" s="449">
        <f>'FORM D'!G327</f>
        <v>5.2529399999999997</v>
      </c>
      <c r="F321" s="448">
        <f t="shared" ref="F321" si="38">ROUND(D321*E321,2)</f>
        <v>3554252.46</v>
      </c>
      <c r="G321" s="448">
        <f>SUM($F$16:F321)</f>
        <v>578914996.91999984</v>
      </c>
      <c r="H321" s="1"/>
    </row>
    <row r="322" spans="1:8" ht="13" x14ac:dyDescent="0.3">
      <c r="A322" s="136">
        <v>307</v>
      </c>
      <c r="B322" s="803" t="s">
        <v>298</v>
      </c>
      <c r="C322" s="447">
        <v>2024</v>
      </c>
      <c r="D322" s="807">
        <v>681349.3600000001</v>
      </c>
      <c r="E322" s="449">
        <f>'FORM D'!G328</f>
        <v>5.2480130000000003</v>
      </c>
      <c r="F322" s="448">
        <f t="shared" ref="F322" si="39">ROUND(D322*E322,2)</f>
        <v>3575730.3</v>
      </c>
      <c r="G322" s="448">
        <f>SUM($F$16:F322)</f>
        <v>582490727.21999979</v>
      </c>
      <c r="H322" s="1"/>
    </row>
    <row r="323" spans="1:8" x14ac:dyDescent="0.25">
      <c r="A323" s="136">
        <v>308</v>
      </c>
      <c r="B323" s="803" t="s">
        <v>299</v>
      </c>
      <c r="C323" s="447">
        <v>2024</v>
      </c>
      <c r="D323" s="448">
        <v>664155.11</v>
      </c>
      <c r="E323" s="449">
        <f>'FORM D'!G329</f>
        <v>5.2110560000000001</v>
      </c>
      <c r="F323" s="448">
        <f t="shared" ref="F323:F328" si="40">ROUND(D323*E323,2)</f>
        <v>3460949.47</v>
      </c>
      <c r="G323" s="448">
        <f>SUM($F$16:F323)</f>
        <v>585951676.68999982</v>
      </c>
      <c r="H323" s="1"/>
    </row>
    <row r="324" spans="1:8" x14ac:dyDescent="0.25">
      <c r="A324" s="136">
        <v>309</v>
      </c>
      <c r="B324" s="803" t="s">
        <v>300</v>
      </c>
      <c r="C324" s="447">
        <v>2024</v>
      </c>
      <c r="D324" s="448">
        <v>678592.78</v>
      </c>
      <c r="E324" s="449">
        <f>'FORM D'!G330</f>
        <v>5.080476</v>
      </c>
      <c r="F324" s="448">
        <f t="shared" si="40"/>
        <v>3447574.33</v>
      </c>
      <c r="G324" s="448">
        <f>SUM($F$16:F324)</f>
        <v>589399251.01999986</v>
      </c>
      <c r="H324" s="1"/>
    </row>
    <row r="325" spans="1:8" x14ac:dyDescent="0.25">
      <c r="A325" s="136">
        <v>310</v>
      </c>
      <c r="B325" s="803" t="s">
        <v>289</v>
      </c>
      <c r="C325" s="447">
        <v>2024</v>
      </c>
      <c r="D325" s="448">
        <v>647706.55999999994</v>
      </c>
      <c r="E325" s="449">
        <f>'FORM D'!G331</f>
        <v>5.1502239999999997</v>
      </c>
      <c r="F325" s="448">
        <f t="shared" si="40"/>
        <v>3335833.87</v>
      </c>
      <c r="G325" s="448">
        <f>SUM($F$16:F325)</f>
        <v>592735084.88999987</v>
      </c>
      <c r="H325" s="1"/>
    </row>
    <row r="326" spans="1:8" x14ac:dyDescent="0.25">
      <c r="A326" s="136">
        <v>311</v>
      </c>
      <c r="B326" s="803" t="s">
        <v>290</v>
      </c>
      <c r="C326" s="447">
        <v>2024</v>
      </c>
      <c r="D326" s="448">
        <v>645677.28999999992</v>
      </c>
      <c r="E326" s="449">
        <f>'FORM D'!G332</f>
        <v>5.1255860000000002</v>
      </c>
      <c r="F326" s="448">
        <f t="shared" si="40"/>
        <v>3309474.48</v>
      </c>
      <c r="G326" s="448">
        <f>SUM($F$16:F326)</f>
        <v>596044559.36999989</v>
      </c>
      <c r="H326" s="1"/>
    </row>
    <row r="327" spans="1:8" x14ac:dyDescent="0.25">
      <c r="A327" s="136">
        <v>312</v>
      </c>
      <c r="B327" s="803" t="s">
        <v>291</v>
      </c>
      <c r="C327" s="447">
        <v>2024</v>
      </c>
      <c r="D327" s="448">
        <v>651130.55000000005</v>
      </c>
      <c r="E327" s="449">
        <f>'FORM D'!G333</f>
        <v>5.0196440000000004</v>
      </c>
      <c r="F327" s="448">
        <f t="shared" si="40"/>
        <v>3268443.56</v>
      </c>
      <c r="G327" s="448">
        <f>SUM($F$16:F327)</f>
        <v>599313002.92999983</v>
      </c>
      <c r="H327" s="1"/>
    </row>
    <row r="328" spans="1:8" x14ac:dyDescent="0.25">
      <c r="A328" s="136">
        <v>313</v>
      </c>
      <c r="B328" s="803" t="s">
        <v>292</v>
      </c>
      <c r="C328" s="447">
        <v>2024</v>
      </c>
      <c r="D328" s="448">
        <v>645724.81000000006</v>
      </c>
      <c r="E328" s="449">
        <f>'FORM D'!G334</f>
        <v>4.8915280000000001</v>
      </c>
      <c r="F328" s="448">
        <f t="shared" si="40"/>
        <v>3158580.99</v>
      </c>
      <c r="G328" s="448">
        <f>SUM($F$16:F328)</f>
        <v>602471583.91999984</v>
      </c>
      <c r="H328" s="1"/>
    </row>
    <row r="329" spans="1:8" x14ac:dyDescent="0.25">
      <c r="A329" s="136">
        <v>314</v>
      </c>
      <c r="B329" s="803" t="s">
        <v>293</v>
      </c>
      <c r="C329" s="447">
        <v>2024</v>
      </c>
      <c r="D329" s="448">
        <v>670860.03</v>
      </c>
      <c r="E329" s="449">
        <f>'FORM D'!G335</f>
        <v>4.9137019999999998</v>
      </c>
      <c r="F329" s="448">
        <f t="shared" ref="F329" si="41">ROUND(D329*E329,2)</f>
        <v>3296406.27</v>
      </c>
      <c r="G329" s="448">
        <f>SUM($F$16:F329)</f>
        <v>605767990.18999982</v>
      </c>
      <c r="H329" s="1"/>
    </row>
    <row r="330" spans="1:8" x14ac:dyDescent="0.25">
      <c r="A330" s="136">
        <v>315</v>
      </c>
      <c r="B330" s="803" t="s">
        <v>294</v>
      </c>
      <c r="C330" s="447">
        <v>2024</v>
      </c>
      <c r="D330" s="448">
        <v>659555.27</v>
      </c>
      <c r="E330" s="449">
        <f>'FORM D'!G336</f>
        <v>4.97776</v>
      </c>
      <c r="F330" s="448">
        <f t="shared" ref="F330" si="42">ROUND(D330*E330,2)</f>
        <v>3283107.8399999999</v>
      </c>
      <c r="G330" s="448">
        <f>SUM($F$16:F330)</f>
        <v>609051098.02999985</v>
      </c>
      <c r="H330" s="1"/>
    </row>
    <row r="331" spans="1:8" x14ac:dyDescent="0.25">
      <c r="A331" s="136">
        <v>316</v>
      </c>
      <c r="B331" s="803" t="s">
        <v>295</v>
      </c>
      <c r="C331" s="447">
        <v>2025</v>
      </c>
      <c r="D331" s="448">
        <v>669902.49</v>
      </c>
      <c r="E331" s="449">
        <f>'FORM D'!G337</f>
        <v>4.9876149999999999</v>
      </c>
      <c r="F331" s="448">
        <f t="shared" ref="F331" si="43">ROUND(D331*E331,2)</f>
        <v>3341215.71</v>
      </c>
      <c r="G331" s="448">
        <f>SUM($F$16:F331)</f>
        <v>612392313.73999989</v>
      </c>
      <c r="H331" s="1"/>
    </row>
    <row r="332" spans="1:8" x14ac:dyDescent="0.25">
      <c r="A332" s="136">
        <v>317</v>
      </c>
      <c r="B332" s="803" t="s">
        <v>296</v>
      </c>
      <c r="C332" s="447">
        <v>2025</v>
      </c>
      <c r="D332" s="448">
        <v>658601.64</v>
      </c>
      <c r="E332" s="449">
        <f>'FORM D'!G338</f>
        <v>5.1058760000000003</v>
      </c>
      <c r="F332" s="448">
        <f t="shared" ref="F332" si="44">ROUND(D332*E332,2)</f>
        <v>3362738.31</v>
      </c>
      <c r="G332" s="448">
        <f>SUM($F$16:F332)</f>
        <v>615755052.04999983</v>
      </c>
      <c r="H332" s="1"/>
    </row>
    <row r="333" spans="1:8" x14ac:dyDescent="0.25">
      <c r="A333" s="136">
        <v>318</v>
      </c>
      <c r="B333" s="803" t="s">
        <v>297</v>
      </c>
      <c r="C333" s="447">
        <v>2025</v>
      </c>
      <c r="D333" s="448">
        <v>656357.64</v>
      </c>
      <c r="E333" s="449">
        <f>'FORM D'!G339</f>
        <v>5.0812379999999999</v>
      </c>
      <c r="F333" s="448">
        <f t="shared" ref="F333" si="45">ROUND(D333*E333,2)</f>
        <v>3335109.38</v>
      </c>
      <c r="G333" s="448">
        <f>SUM($F$16:F333)</f>
        <v>619090161.42999983</v>
      </c>
      <c r="H333" s="1"/>
    </row>
    <row r="334" spans="1:8" x14ac:dyDescent="0.25">
      <c r="A334" s="136">
        <v>319</v>
      </c>
      <c r="B334" s="803" t="s">
        <v>298</v>
      </c>
      <c r="C334" s="447">
        <v>2025</v>
      </c>
      <c r="D334" s="448">
        <v>645354.32999999996</v>
      </c>
      <c r="E334" s="449">
        <f>'FORM D'!G340</f>
        <v>4.9826870000000003</v>
      </c>
      <c r="F334" s="448">
        <f t="shared" ref="F334" si="46">ROUND(D334*E334,2)</f>
        <v>3215598.63</v>
      </c>
      <c r="G334" s="448">
        <f>SUM($F$16:F334)</f>
        <v>622305760.05999982</v>
      </c>
      <c r="H334" s="1"/>
    </row>
    <row r="335" spans="1:8" x14ac:dyDescent="0.25">
      <c r="A335" s="136">
        <v>320</v>
      </c>
      <c r="B335" s="803" t="s">
        <v>299</v>
      </c>
      <c r="C335" s="447">
        <v>2025</v>
      </c>
      <c r="D335" s="448">
        <f>'FORM E'!$H$39</f>
        <v>676830.65</v>
      </c>
      <c r="E335" s="449">
        <f>'FORM D'!G341</f>
        <v>4.9826870000000003</v>
      </c>
      <c r="F335" s="448">
        <f t="shared" ref="F335" si="47">ROUND(D335*E335,2)</f>
        <v>3372435.28</v>
      </c>
      <c r="G335" s="448">
        <f>SUM($F$16:F335)</f>
        <v>625678195.33999979</v>
      </c>
      <c r="H335" s="1"/>
    </row>
    <row r="336" spans="1:8" x14ac:dyDescent="0.25">
      <c r="A336" s="136"/>
      <c r="B336" s="803"/>
      <c r="C336" s="447"/>
      <c r="D336" s="448"/>
      <c r="E336" s="449"/>
      <c r="F336" s="448"/>
      <c r="G336" s="448"/>
      <c r="H336" s="1"/>
    </row>
    <row r="337" spans="1:15" ht="13" x14ac:dyDescent="0.3">
      <c r="A337" s="177"/>
      <c r="B337" s="138"/>
      <c r="C337" s="138"/>
      <c r="D337" s="138"/>
      <c r="E337" s="138"/>
      <c r="F337" s="178" t="s">
        <v>69</v>
      </c>
      <c r="G337" s="179">
        <f>SUM(F16:F336)</f>
        <v>625678195.33999979</v>
      </c>
      <c r="J337" s="69"/>
    </row>
    <row r="338" spans="1:15" x14ac:dyDescent="0.25">
      <c r="H338" s="855">
        <v>45383</v>
      </c>
      <c r="I338" s="851" t="s">
        <v>361</v>
      </c>
      <c r="J338" s="851" t="s">
        <v>424</v>
      </c>
      <c r="K338" s="851" t="s">
        <v>356</v>
      </c>
      <c r="L338" s="851" t="s">
        <v>355</v>
      </c>
      <c r="M338" s="851">
        <v>298.55</v>
      </c>
      <c r="N338" s="851" t="s">
        <v>426</v>
      </c>
      <c r="O338" t="s">
        <v>425</v>
      </c>
    </row>
    <row r="339" spans="1:15" x14ac:dyDescent="0.25">
      <c r="H339" s="855">
        <v>45413</v>
      </c>
      <c r="I339" s="851" t="s">
        <v>361</v>
      </c>
      <c r="J339" s="851" t="s">
        <v>424</v>
      </c>
      <c r="K339" s="851" t="s">
        <v>356</v>
      </c>
      <c r="L339" s="851" t="s">
        <v>355</v>
      </c>
      <c r="M339" s="851">
        <v>298.55</v>
      </c>
      <c r="N339" s="851" t="s">
        <v>426</v>
      </c>
      <c r="O339" t="s">
        <v>425</v>
      </c>
    </row>
    <row r="340" spans="1:15" x14ac:dyDescent="0.25">
      <c r="H340" s="855">
        <v>45444</v>
      </c>
      <c r="I340" s="851" t="s">
        <v>357</v>
      </c>
      <c r="J340" s="851" t="s">
        <v>424</v>
      </c>
      <c r="K340" s="851" t="s">
        <v>356</v>
      </c>
      <c r="L340" s="851" t="s">
        <v>355</v>
      </c>
      <c r="M340" s="851">
        <v>286.3</v>
      </c>
      <c r="N340" s="851" t="s">
        <v>426</v>
      </c>
      <c r="O340" t="s">
        <v>425</v>
      </c>
    </row>
    <row r="341" spans="1:15" x14ac:dyDescent="0.25">
      <c r="H341" s="855">
        <v>45474</v>
      </c>
      <c r="I341" s="851" t="s">
        <v>361</v>
      </c>
      <c r="J341" s="851" t="s">
        <v>424</v>
      </c>
      <c r="K341" s="851" t="s">
        <v>356</v>
      </c>
      <c r="L341" s="851" t="s">
        <v>355</v>
      </c>
      <c r="M341" s="851">
        <v>298.55</v>
      </c>
      <c r="N341" s="851" t="s">
        <v>426</v>
      </c>
      <c r="O341" t="s">
        <v>425</v>
      </c>
    </row>
    <row r="342" spans="1:15" x14ac:dyDescent="0.25">
      <c r="H342" s="851"/>
      <c r="I342" s="851"/>
      <c r="J342" s="851"/>
      <c r="K342" s="851"/>
      <c r="L342" s="851"/>
      <c r="M342" s="851"/>
      <c r="N342" s="851"/>
    </row>
    <row r="343" spans="1:15" x14ac:dyDescent="0.25">
      <c r="H343" s="851"/>
      <c r="I343" s="851"/>
      <c r="J343" s="851"/>
      <c r="K343" s="851"/>
      <c r="L343" s="851"/>
      <c r="M343" s="851">
        <f>SUM(M338:M342)</f>
        <v>1181.95</v>
      </c>
      <c r="N343" s="851"/>
    </row>
    <row r="344" spans="1:15" x14ac:dyDescent="0.25">
      <c r="H344" s="851"/>
      <c r="I344" s="851"/>
      <c r="J344" s="851"/>
      <c r="K344" s="851"/>
      <c r="L344" s="853" t="s">
        <v>426</v>
      </c>
      <c r="M344" s="851">
        <f>M343</f>
        <v>1181.95</v>
      </c>
      <c r="N344" s="851"/>
    </row>
    <row r="345" spans="1:15" ht="13" x14ac:dyDescent="0.3">
      <c r="H345" s="851"/>
      <c r="I345" s="851"/>
      <c r="J345" s="851"/>
      <c r="K345" s="851"/>
      <c r="L345" s="851"/>
      <c r="M345" s="852">
        <f>SUM(M343:M344)</f>
        <v>2363.9</v>
      </c>
      <c r="N345" s="851"/>
    </row>
    <row r="346" spans="1:15" x14ac:dyDescent="0.25">
      <c r="E346" s="854"/>
    </row>
    <row r="347" spans="1:15" ht="13" x14ac:dyDescent="0.3">
      <c r="F347" s="52"/>
    </row>
  </sheetData>
  <mergeCells count="25">
    <mergeCell ref="I311:K311"/>
    <mergeCell ref="I312:I313"/>
    <mergeCell ref="J312:J313"/>
    <mergeCell ref="K312:K313"/>
    <mergeCell ref="I305:K305"/>
    <mergeCell ref="I306:I307"/>
    <mergeCell ref="J306:J307"/>
    <mergeCell ref="K306:K307"/>
    <mergeCell ref="I287:K287"/>
    <mergeCell ref="I288:I289"/>
    <mergeCell ref="J288:J289"/>
    <mergeCell ref="K288:K289"/>
    <mergeCell ref="I298:K298"/>
    <mergeCell ref="I299:I300"/>
    <mergeCell ref="J299:J300"/>
    <mergeCell ref="K299:K300"/>
    <mergeCell ref="I293:K293"/>
    <mergeCell ref="I294:I295"/>
    <mergeCell ref="J294:J295"/>
    <mergeCell ref="K294:K295"/>
    <mergeCell ref="A1:G1"/>
    <mergeCell ref="I280:K280"/>
    <mergeCell ref="I281:I282"/>
    <mergeCell ref="J281:J282"/>
    <mergeCell ref="K281:K282"/>
  </mergeCells>
  <phoneticPr fontId="5" type="noConversion"/>
  <pageMargins left="0.75" right="0.75" top="1" bottom="1" header="0.5" footer="0.5"/>
  <pageSetup paperSize="9" scale="69" orientation="portrait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4"/>
  <sheetViews>
    <sheetView view="pageBreakPreview" topLeftCell="A333" zoomScale="85" zoomScaleNormal="125" zoomScaleSheetLayoutView="85" workbookViewId="0">
      <selection activeCell="F340" sqref="F340"/>
    </sheetView>
  </sheetViews>
  <sheetFormatPr defaultColWidth="8.81640625" defaultRowHeight="12.5" x14ac:dyDescent="0.25"/>
  <cols>
    <col min="1" max="1" width="14" customWidth="1"/>
    <col min="2" max="2" width="19.81640625" customWidth="1"/>
    <col min="3" max="3" width="13.453125" customWidth="1"/>
    <col min="4" max="4" width="15.26953125" customWidth="1"/>
    <col min="5" max="5" width="16.81640625" customWidth="1"/>
    <col min="6" max="6" width="14.7265625" customWidth="1"/>
    <col min="7" max="7" width="17.54296875" customWidth="1"/>
    <col min="8" max="8" width="8.81640625" customWidth="1"/>
  </cols>
  <sheetData>
    <row r="1" spans="1:8" ht="13" x14ac:dyDescent="0.3">
      <c r="D1" s="53" t="s">
        <v>27</v>
      </c>
    </row>
    <row r="2" spans="1:8" ht="13" x14ac:dyDescent="0.3">
      <c r="G2" s="53"/>
    </row>
    <row r="3" spans="1:8" ht="13" x14ac:dyDescent="0.3">
      <c r="A3" s="50" t="s">
        <v>0</v>
      </c>
      <c r="B3" s="50"/>
      <c r="C3" s="455" t="str">
        <f>'FORM A'!C3</f>
        <v>PROVISION OF PUBLIC PASSENGER TRANSPORT MKUZE AND SURROUNDING</v>
      </c>
      <c r="D3" s="50"/>
      <c r="E3" s="50"/>
      <c r="F3" s="50"/>
      <c r="G3" s="53"/>
    </row>
    <row r="4" spans="1:8" ht="13" x14ac:dyDescent="0.3">
      <c r="A4" s="50"/>
      <c r="B4" s="50"/>
      <c r="C4" s="438"/>
      <c r="D4" s="50"/>
      <c r="E4" s="50"/>
      <c r="F4" s="50"/>
    </row>
    <row r="5" spans="1:8" ht="13" x14ac:dyDescent="0.3">
      <c r="A5" s="115" t="str">
        <f>'FORM A'!A6</f>
        <v>CONTRACT : ZNT 1129</v>
      </c>
      <c r="B5" s="109"/>
      <c r="C5" s="109"/>
      <c r="D5" s="110"/>
      <c r="E5" s="50" t="s">
        <v>2</v>
      </c>
      <c r="F5" s="111" t="str">
        <f>'FORM A'!F6</f>
        <v>Ripple Effect 40 (Pty) Ltd</v>
      </c>
      <c r="G5" s="112"/>
    </row>
    <row r="6" spans="1:8" ht="13" x14ac:dyDescent="0.3">
      <c r="A6" s="109"/>
      <c r="B6" s="109"/>
      <c r="C6" s="109"/>
      <c r="D6" s="113"/>
      <c r="E6" s="126"/>
      <c r="F6" s="113"/>
      <c r="G6" s="114"/>
    </row>
    <row r="7" spans="1:8" ht="15.5" x14ac:dyDescent="0.35">
      <c r="A7" s="116" t="s">
        <v>131</v>
      </c>
      <c r="B7" s="117"/>
      <c r="C7" s="118">
        <f>'FORM A'!C8</f>
        <v>320</v>
      </c>
      <c r="D7" s="114"/>
      <c r="E7" s="50" t="s">
        <v>4</v>
      </c>
      <c r="F7" s="127">
        <f>'FORM C'!F7</f>
        <v>45778</v>
      </c>
      <c r="G7" s="114"/>
    </row>
    <row r="8" spans="1:8" ht="13" x14ac:dyDescent="0.3">
      <c r="A8" s="118"/>
      <c r="B8" s="118"/>
      <c r="C8" s="118"/>
      <c r="D8" s="114"/>
      <c r="E8" s="114"/>
      <c r="F8" s="114"/>
      <c r="G8" s="114"/>
    </row>
    <row r="9" spans="1:8" ht="13" x14ac:dyDescent="0.3">
      <c r="A9" s="440" t="s">
        <v>246</v>
      </c>
      <c r="B9" s="119"/>
      <c r="C9" s="119"/>
      <c r="D9" s="120"/>
      <c r="E9" s="120"/>
      <c r="F9" s="120"/>
      <c r="G9" s="120"/>
    </row>
    <row r="10" spans="1:8" x14ac:dyDescent="0.25">
      <c r="A10" s="121" t="s">
        <v>132</v>
      </c>
      <c r="B10" s="122"/>
      <c r="C10" s="122"/>
      <c r="D10" s="111"/>
      <c r="E10" s="111" t="s">
        <v>133</v>
      </c>
      <c r="F10" s="731">
        <v>36039</v>
      </c>
      <c r="G10" s="111"/>
    </row>
    <row r="11" spans="1:8" x14ac:dyDescent="0.25">
      <c r="A11" s="121"/>
      <c r="B11" s="122"/>
      <c r="C11" s="122"/>
      <c r="D11" s="111"/>
      <c r="E11" s="111"/>
      <c r="F11" s="456"/>
      <c r="G11" s="111"/>
    </row>
    <row r="12" spans="1:8" x14ac:dyDescent="0.25">
      <c r="A12" s="121" t="s">
        <v>302</v>
      </c>
      <c r="B12" s="122"/>
      <c r="C12" s="122"/>
      <c r="D12" s="111"/>
      <c r="E12" s="111"/>
      <c r="F12" s="111"/>
      <c r="G12" s="111"/>
    </row>
    <row r="13" spans="1:8" x14ac:dyDescent="0.25">
      <c r="A13" s="453"/>
      <c r="B13" s="122"/>
      <c r="C13" s="122"/>
      <c r="D13" s="111"/>
      <c r="E13" s="111"/>
      <c r="F13" s="111"/>
      <c r="G13" s="111"/>
    </row>
    <row r="14" spans="1:8" x14ac:dyDescent="0.25">
      <c r="A14" s="123" t="s">
        <v>134</v>
      </c>
      <c r="B14" s="122"/>
      <c r="C14" s="122"/>
      <c r="H14" s="111"/>
    </row>
    <row r="15" spans="1:8" x14ac:dyDescent="0.25">
      <c r="A15" s="122" t="s">
        <v>301</v>
      </c>
      <c r="B15" s="122">
        <v>0.15</v>
      </c>
      <c r="C15" s="122"/>
      <c r="D15" s="112" t="s">
        <v>303</v>
      </c>
      <c r="E15" s="124">
        <v>19</v>
      </c>
      <c r="F15" t="s">
        <v>304</v>
      </c>
      <c r="H15" s="111"/>
    </row>
    <row r="16" spans="1:8" x14ac:dyDescent="0.25">
      <c r="A16" s="451" t="s">
        <v>135</v>
      </c>
      <c r="B16" s="452">
        <v>0.35</v>
      </c>
      <c r="D16" s="112"/>
      <c r="E16" s="122"/>
      <c r="F16" s="111"/>
    </row>
    <row r="17" spans="1:8" x14ac:dyDescent="0.25">
      <c r="A17" s="451" t="s">
        <v>136</v>
      </c>
      <c r="B17" s="452">
        <v>0.45</v>
      </c>
      <c r="D17" s="112" t="s">
        <v>305</v>
      </c>
      <c r="E17" s="730">
        <v>49.4</v>
      </c>
      <c r="F17" s="111" t="s">
        <v>308</v>
      </c>
    </row>
    <row r="18" spans="1:8" x14ac:dyDescent="0.25">
      <c r="A18" s="451" t="s">
        <v>137</v>
      </c>
      <c r="B18" s="452">
        <v>0.2</v>
      </c>
      <c r="D18" s="134"/>
      <c r="E18" s="133"/>
      <c r="F18" s="111"/>
    </row>
    <row r="19" spans="1:8" x14ac:dyDescent="0.25">
      <c r="A19" s="133"/>
      <c r="B19" s="451"/>
      <c r="C19" s="452"/>
      <c r="D19" s="133" t="s">
        <v>306</v>
      </c>
      <c r="E19" s="133">
        <v>6.9</v>
      </c>
      <c r="F19" s="111" t="s">
        <v>307</v>
      </c>
    </row>
    <row r="20" spans="1:8" x14ac:dyDescent="0.25">
      <c r="A20" s="133"/>
      <c r="B20" s="133"/>
      <c r="C20" s="441"/>
      <c r="D20" s="134"/>
      <c r="E20" s="134"/>
      <c r="F20" s="134"/>
      <c r="G20" s="111"/>
    </row>
    <row r="21" spans="1:8" ht="13" x14ac:dyDescent="0.3">
      <c r="A21" s="539" t="s">
        <v>138</v>
      </c>
      <c r="B21" s="540" t="s">
        <v>139</v>
      </c>
      <c r="C21" s="541" t="s">
        <v>140</v>
      </c>
      <c r="D21" s="542" t="s">
        <v>141</v>
      </c>
      <c r="E21" s="543" t="s">
        <v>309</v>
      </c>
      <c r="F21" s="542" t="s">
        <v>142</v>
      </c>
      <c r="G21" s="543" t="s">
        <v>310</v>
      </c>
    </row>
    <row r="22" spans="1:8" x14ac:dyDescent="0.25">
      <c r="A22" s="446">
        <v>1</v>
      </c>
      <c r="B22" s="7" t="s">
        <v>293</v>
      </c>
      <c r="C22" s="137">
        <v>1998</v>
      </c>
      <c r="D22" s="445">
        <v>19.52897870297992</v>
      </c>
      <c r="E22" s="445">
        <v>50.9</v>
      </c>
      <c r="F22" s="776">
        <v>7.1088643892327008</v>
      </c>
      <c r="G22" s="368">
        <f t="shared" ref="G22:G102" si="0">((1-$B$15)*(($B$16*D22/$E$15)+($B$17*E22/$E$17)+($B$18*F22/$E$19)-1))+1</f>
        <v>1.0250429995463988</v>
      </c>
      <c r="H22" s="775"/>
    </row>
    <row r="23" spans="1:8" x14ac:dyDescent="0.25">
      <c r="A23" s="446">
        <f t="shared" ref="A23:A103" si="1">A22+1</f>
        <v>2</v>
      </c>
      <c r="B23" s="7" t="s">
        <v>294</v>
      </c>
      <c r="C23" s="137">
        <v>1998</v>
      </c>
      <c r="D23" s="445">
        <v>19.52897870297992</v>
      </c>
      <c r="E23" s="445">
        <v>50.9</v>
      </c>
      <c r="F23" s="776">
        <v>6.8348919279843816</v>
      </c>
      <c r="G23" s="368">
        <f t="shared" si="0"/>
        <v>1.0182929533997012</v>
      </c>
      <c r="H23" s="775"/>
    </row>
    <row r="24" spans="1:8" x14ac:dyDescent="0.25">
      <c r="A24" s="446">
        <f t="shared" si="1"/>
        <v>3</v>
      </c>
      <c r="B24" s="7" t="s">
        <v>295</v>
      </c>
      <c r="C24" s="137">
        <v>1999</v>
      </c>
      <c r="D24" s="445">
        <v>19.52897870297992</v>
      </c>
      <c r="E24" s="445">
        <v>51.5</v>
      </c>
      <c r="F24" s="776">
        <v>6.6618566893012332</v>
      </c>
      <c r="G24" s="368">
        <f t="shared" si="0"/>
        <v>1.0186755153475358</v>
      </c>
      <c r="H24" s="775"/>
    </row>
    <row r="25" spans="1:8" x14ac:dyDescent="0.25">
      <c r="A25" s="446">
        <f t="shared" si="1"/>
        <v>4</v>
      </c>
      <c r="B25" s="7" t="s">
        <v>296</v>
      </c>
      <c r="C25" s="137">
        <v>1999</v>
      </c>
      <c r="D25" s="445">
        <v>19.52897870297992</v>
      </c>
      <c r="E25" s="445">
        <v>51.6</v>
      </c>
      <c r="F25" s="776">
        <v>7.0944447860091051</v>
      </c>
      <c r="G25" s="368">
        <f t="shared" si="0"/>
        <v>1.0301077744455605</v>
      </c>
      <c r="H25" s="775"/>
    </row>
    <row r="26" spans="1:8" x14ac:dyDescent="0.25">
      <c r="A26" s="446">
        <f t="shared" si="1"/>
        <v>5</v>
      </c>
      <c r="B26" s="7" t="s">
        <v>297</v>
      </c>
      <c r="C26" s="137">
        <v>1999</v>
      </c>
      <c r="D26" s="445">
        <v>19.52897870297992</v>
      </c>
      <c r="E26" s="445">
        <v>51.6</v>
      </c>
      <c r="F26" s="776">
        <v>7.0656055795619128</v>
      </c>
      <c r="G26" s="368">
        <f t="shared" si="0"/>
        <v>1.0293972432722238</v>
      </c>
      <c r="H26" s="775"/>
    </row>
    <row r="27" spans="1:8" x14ac:dyDescent="0.25">
      <c r="A27" s="446">
        <f t="shared" si="1"/>
        <v>6</v>
      </c>
      <c r="B27" s="7" t="s">
        <v>298</v>
      </c>
      <c r="C27" s="137">
        <v>1999</v>
      </c>
      <c r="D27" s="445">
        <v>19.52897870297992</v>
      </c>
      <c r="E27" s="445">
        <v>53.5</v>
      </c>
      <c r="F27" s="776">
        <v>7.2242212150214673</v>
      </c>
      <c r="G27" s="368">
        <f t="shared" si="0"/>
        <v>1.0480167031871135</v>
      </c>
      <c r="H27" s="775"/>
    </row>
    <row r="28" spans="1:8" x14ac:dyDescent="0.25">
      <c r="A28" s="446">
        <f t="shared" si="1"/>
        <v>7</v>
      </c>
      <c r="B28" s="7" t="s">
        <v>299</v>
      </c>
      <c r="C28" s="137">
        <v>1999</v>
      </c>
      <c r="D28" s="445">
        <v>19.52897870297992</v>
      </c>
      <c r="E28" s="445">
        <v>53.6</v>
      </c>
      <c r="F28" s="776">
        <v>7.7865857407417014</v>
      </c>
      <c r="G28" s="368">
        <f t="shared" si="0"/>
        <v>1.0626463525651531</v>
      </c>
      <c r="H28" s="775"/>
    </row>
    <row r="29" spans="1:8" x14ac:dyDescent="0.25">
      <c r="A29" s="446">
        <f t="shared" si="1"/>
        <v>8</v>
      </c>
      <c r="B29" s="7" t="s">
        <v>300</v>
      </c>
      <c r="C29" s="137">
        <v>1999</v>
      </c>
      <c r="D29" s="445">
        <v>19.52897870297992</v>
      </c>
      <c r="E29" s="445">
        <v>53.6</v>
      </c>
      <c r="F29" s="776">
        <v>8.0749778052136154</v>
      </c>
      <c r="G29" s="368">
        <f t="shared" si="0"/>
        <v>1.069751664298519</v>
      </c>
      <c r="H29" s="775"/>
    </row>
    <row r="30" spans="1:8" x14ac:dyDescent="0.25">
      <c r="A30" s="446">
        <f t="shared" si="1"/>
        <v>9</v>
      </c>
      <c r="B30" s="7" t="s">
        <v>289</v>
      </c>
      <c r="C30" s="137">
        <v>1999</v>
      </c>
      <c r="D30" s="445">
        <v>20.742849185591819</v>
      </c>
      <c r="E30" s="445">
        <v>53.6</v>
      </c>
      <c r="F30" s="776">
        <v>8.2624326471203613</v>
      </c>
      <c r="G30" s="368">
        <f t="shared" si="0"/>
        <v>1.0933767731661037</v>
      </c>
      <c r="H30" s="775"/>
    </row>
    <row r="31" spans="1:8" x14ac:dyDescent="0.25">
      <c r="A31" s="446">
        <f t="shared" si="1"/>
        <v>10</v>
      </c>
      <c r="B31" s="7" t="s">
        <v>290</v>
      </c>
      <c r="C31" s="137">
        <v>1999</v>
      </c>
      <c r="D31" s="445">
        <v>20.742849185591819</v>
      </c>
      <c r="E31" s="445">
        <v>54.2</v>
      </c>
      <c r="F31" s="776">
        <v>8.7382795534990194</v>
      </c>
      <c r="G31" s="368">
        <f t="shared" si="0"/>
        <v>1.109746286514012</v>
      </c>
      <c r="H31" s="775"/>
    </row>
    <row r="32" spans="1:8" x14ac:dyDescent="0.25">
      <c r="A32" s="446">
        <f t="shared" si="1"/>
        <v>11</v>
      </c>
      <c r="B32" s="7" t="s">
        <v>291</v>
      </c>
      <c r="C32" s="137">
        <v>1999</v>
      </c>
      <c r="D32" s="445">
        <v>20.742849185591819</v>
      </c>
      <c r="E32" s="445">
        <v>54.2</v>
      </c>
      <c r="F32" s="776">
        <v>9.3006440792192535</v>
      </c>
      <c r="G32" s="368">
        <f t="shared" si="0"/>
        <v>1.1236016443940757</v>
      </c>
      <c r="H32" s="775"/>
    </row>
    <row r="33" spans="1:8" x14ac:dyDescent="0.25">
      <c r="A33" s="446">
        <f t="shared" si="1"/>
        <v>12</v>
      </c>
      <c r="B33" s="7" t="s">
        <v>292</v>
      </c>
      <c r="C33" s="137">
        <v>1999</v>
      </c>
      <c r="D33" s="445">
        <v>20.742849185591819</v>
      </c>
      <c r="E33" s="445">
        <v>54.2</v>
      </c>
      <c r="F33" s="776">
        <v>9.7909105888215109</v>
      </c>
      <c r="G33" s="368">
        <f t="shared" si="0"/>
        <v>1.1356806743407981</v>
      </c>
      <c r="H33" s="775"/>
    </row>
    <row r="34" spans="1:8" x14ac:dyDescent="0.25">
      <c r="A34" s="446">
        <f t="shared" si="1"/>
        <v>13</v>
      </c>
      <c r="B34" s="7" t="s">
        <v>293</v>
      </c>
      <c r="C34" s="137">
        <v>1999</v>
      </c>
      <c r="D34" s="445">
        <v>20.742849185591819</v>
      </c>
      <c r="E34" s="445">
        <v>54.2</v>
      </c>
      <c r="F34" s="776">
        <v>10.151400669411403</v>
      </c>
      <c r="G34" s="368">
        <f t="shared" si="0"/>
        <v>1.1445623140075054</v>
      </c>
      <c r="H34" s="775"/>
    </row>
    <row r="35" spans="1:8" x14ac:dyDescent="0.25">
      <c r="A35" s="446">
        <f t="shared" si="1"/>
        <v>14</v>
      </c>
      <c r="B35" s="7" t="s">
        <v>294</v>
      </c>
      <c r="C35" s="137">
        <v>1999</v>
      </c>
      <c r="D35" s="445">
        <v>20.742849185591819</v>
      </c>
      <c r="E35" s="445">
        <v>54.2</v>
      </c>
      <c r="F35" s="776">
        <v>10.497471146777698</v>
      </c>
      <c r="G35" s="368">
        <f t="shared" si="0"/>
        <v>1.1530886880875446</v>
      </c>
      <c r="H35" s="775"/>
    </row>
    <row r="36" spans="1:8" x14ac:dyDescent="0.25">
      <c r="A36" s="446">
        <f t="shared" si="1"/>
        <v>15</v>
      </c>
      <c r="B36" s="7" t="s">
        <v>295</v>
      </c>
      <c r="C36" s="137">
        <v>2000</v>
      </c>
      <c r="D36" s="445">
        <v>20.742849185591819</v>
      </c>
      <c r="E36" s="445">
        <v>54.2</v>
      </c>
      <c r="F36" s="776">
        <v>10.829122020920403</v>
      </c>
      <c r="G36" s="368">
        <f t="shared" si="0"/>
        <v>1.1612597965809157</v>
      </c>
      <c r="H36" s="775"/>
    </row>
    <row r="37" spans="1:8" x14ac:dyDescent="0.25">
      <c r="A37" s="446">
        <f t="shared" si="1"/>
        <v>16</v>
      </c>
      <c r="B37" s="7" t="s">
        <v>296</v>
      </c>
      <c r="C37" s="137">
        <v>2000</v>
      </c>
      <c r="D37" s="445">
        <v>20.742849185591819</v>
      </c>
      <c r="E37" s="445">
        <v>57.2</v>
      </c>
      <c r="F37" s="776">
        <v>11.521262975652999</v>
      </c>
      <c r="G37" s="368">
        <f t="shared" si="0"/>
        <v>1.2015412896802653</v>
      </c>
      <c r="H37" s="775"/>
    </row>
    <row r="38" spans="1:8" x14ac:dyDescent="0.25">
      <c r="A38" s="446">
        <f t="shared" si="1"/>
        <v>17</v>
      </c>
      <c r="B38" s="7" t="s">
        <v>297</v>
      </c>
      <c r="C38" s="137">
        <v>2000</v>
      </c>
      <c r="D38" s="445">
        <v>20.742849185591819</v>
      </c>
      <c r="E38" s="445">
        <v>57.2</v>
      </c>
      <c r="F38" s="776">
        <v>12.746929249658637</v>
      </c>
      <c r="G38" s="368">
        <f t="shared" si="0"/>
        <v>1.2317388645470708</v>
      </c>
      <c r="H38" s="775"/>
    </row>
    <row r="39" spans="1:8" x14ac:dyDescent="0.25">
      <c r="A39" s="446">
        <f t="shared" si="1"/>
        <v>18</v>
      </c>
      <c r="B39" s="7" t="s">
        <v>298</v>
      </c>
      <c r="C39" s="137">
        <v>2000</v>
      </c>
      <c r="D39" s="445">
        <v>20.80106989465985</v>
      </c>
      <c r="E39" s="445">
        <v>57.2</v>
      </c>
      <c r="F39" s="776">
        <v>13.338132981826062</v>
      </c>
      <c r="G39" s="368">
        <f t="shared" si="0"/>
        <v>1.2472163673345631</v>
      </c>
      <c r="H39" s="775"/>
    </row>
    <row r="40" spans="1:8" x14ac:dyDescent="0.25">
      <c r="A40" s="446">
        <f t="shared" si="1"/>
        <v>19</v>
      </c>
      <c r="B40" s="7" t="s">
        <v>299</v>
      </c>
      <c r="C40" s="137">
        <v>2000</v>
      </c>
      <c r="D40" s="445">
        <v>20.80106989465985</v>
      </c>
      <c r="E40" s="445">
        <v>58.8</v>
      </c>
      <c r="F40" s="776">
        <v>12.977642901236168</v>
      </c>
      <c r="G40" s="368">
        <f t="shared" si="0"/>
        <v>1.2507233916354665</v>
      </c>
      <c r="H40" s="775"/>
    </row>
    <row r="41" spans="1:8" x14ac:dyDescent="0.25">
      <c r="A41" s="446">
        <f t="shared" si="1"/>
        <v>20</v>
      </c>
      <c r="B41" s="7" t="s">
        <v>300</v>
      </c>
      <c r="C41" s="137">
        <v>2000</v>
      </c>
      <c r="D41" s="445">
        <v>20.80106989465985</v>
      </c>
      <c r="E41" s="445">
        <v>58.8</v>
      </c>
      <c r="F41" s="776">
        <v>13.193936949590105</v>
      </c>
      <c r="G41" s="368">
        <f t="shared" si="0"/>
        <v>1.2560523754354911</v>
      </c>
      <c r="H41" s="775"/>
    </row>
    <row r="42" spans="1:8" x14ac:dyDescent="0.25">
      <c r="A42" s="446">
        <f t="shared" si="1"/>
        <v>21</v>
      </c>
      <c r="B42" s="7" t="s">
        <v>289</v>
      </c>
      <c r="C42" s="137">
        <v>2000</v>
      </c>
      <c r="D42" s="445">
        <v>21.60426526814673</v>
      </c>
      <c r="E42" s="445">
        <v>58.8</v>
      </c>
      <c r="F42" s="776">
        <v>13.568846633403593</v>
      </c>
      <c r="G42" s="368">
        <f t="shared" si="0"/>
        <v>1.2778656293000432</v>
      </c>
      <c r="H42" s="775"/>
    </row>
    <row r="43" spans="1:8" x14ac:dyDescent="0.25">
      <c r="A43" s="446">
        <f t="shared" si="1"/>
        <v>22</v>
      </c>
      <c r="B43" s="7" t="s">
        <v>290</v>
      </c>
      <c r="C43" s="137">
        <v>2000</v>
      </c>
      <c r="D43" s="445">
        <v>21.60426526814673</v>
      </c>
      <c r="E43" s="445">
        <v>60.3</v>
      </c>
      <c r="F43" s="776">
        <v>14.66473647839687</v>
      </c>
      <c r="G43" s="368">
        <f t="shared" si="0"/>
        <v>1.3164801863564695</v>
      </c>
      <c r="H43" s="775"/>
    </row>
    <row r="44" spans="1:8" x14ac:dyDescent="0.25">
      <c r="A44" s="446">
        <f t="shared" si="1"/>
        <v>23</v>
      </c>
      <c r="B44" s="7" t="s">
        <v>291</v>
      </c>
      <c r="C44" s="137">
        <v>2000</v>
      </c>
      <c r="D44" s="445">
        <v>21.60426526814673</v>
      </c>
      <c r="E44" s="445">
        <v>60.3</v>
      </c>
      <c r="F44" s="776">
        <v>16.020179181414871</v>
      </c>
      <c r="G44" s="368">
        <f t="shared" si="0"/>
        <v>1.3498751515032901</v>
      </c>
      <c r="H44" s="775"/>
    </row>
    <row r="45" spans="1:8" x14ac:dyDescent="0.25">
      <c r="A45" s="446">
        <f t="shared" si="1"/>
        <v>24</v>
      </c>
      <c r="B45" s="7" t="s">
        <v>292</v>
      </c>
      <c r="C45" s="137">
        <v>2000</v>
      </c>
      <c r="D45" s="445">
        <v>21.60426526814673</v>
      </c>
      <c r="E45" s="445">
        <v>60.3</v>
      </c>
      <c r="F45" s="776">
        <v>17.620755139233996</v>
      </c>
      <c r="G45" s="368">
        <f t="shared" si="0"/>
        <v>1.3893096316234712</v>
      </c>
      <c r="H45" s="775"/>
    </row>
    <row r="46" spans="1:8" x14ac:dyDescent="0.25">
      <c r="A46" s="446">
        <f t="shared" si="1"/>
        <v>25</v>
      </c>
      <c r="B46" s="7" t="s">
        <v>293</v>
      </c>
      <c r="C46" s="137">
        <v>2000</v>
      </c>
      <c r="D46" s="445">
        <v>21.60426526814673</v>
      </c>
      <c r="E46" s="445">
        <v>61.2</v>
      </c>
      <c r="F46" s="776">
        <v>18.673386174556487</v>
      </c>
      <c r="G46" s="368">
        <f t="shared" si="0"/>
        <v>1.4222126429320388</v>
      </c>
      <c r="H46" s="775"/>
    </row>
    <row r="47" spans="1:8" x14ac:dyDescent="0.25">
      <c r="A47" s="446">
        <f t="shared" si="1"/>
        <v>26</v>
      </c>
      <c r="B47" s="7" t="s">
        <v>294</v>
      </c>
      <c r="C47" s="137">
        <v>2000</v>
      </c>
      <c r="D47" s="445">
        <v>21.60426526814673</v>
      </c>
      <c r="E47" s="445">
        <v>61.2</v>
      </c>
      <c r="F47" s="776">
        <v>17.865888394035125</v>
      </c>
      <c r="G47" s="368">
        <f t="shared" si="0"/>
        <v>1.4023177700786138</v>
      </c>
      <c r="H47" s="775"/>
    </row>
    <row r="48" spans="1:8" x14ac:dyDescent="0.25">
      <c r="A48" s="446">
        <f t="shared" si="1"/>
        <v>27</v>
      </c>
      <c r="B48" s="7" t="s">
        <v>295</v>
      </c>
      <c r="C48" s="137">
        <v>2001</v>
      </c>
      <c r="D48" s="445">
        <v>21.60426526814673</v>
      </c>
      <c r="E48" s="445">
        <v>61.2</v>
      </c>
      <c r="F48" s="776">
        <v>16.971872994172188</v>
      </c>
      <c r="G48" s="368">
        <f t="shared" si="0"/>
        <v>1.3802913037051789</v>
      </c>
      <c r="H48" s="775"/>
    </row>
    <row r="49" spans="1:8" x14ac:dyDescent="0.25">
      <c r="A49" s="446">
        <f t="shared" si="1"/>
        <v>28</v>
      </c>
      <c r="B49" s="7" t="s">
        <v>296</v>
      </c>
      <c r="C49" s="137">
        <v>2001</v>
      </c>
      <c r="D49" s="445">
        <v>21.60426526814673</v>
      </c>
      <c r="E49" s="445">
        <v>62.6</v>
      </c>
      <c r="F49" s="776">
        <v>16.452767278122742</v>
      </c>
      <c r="G49" s="368">
        <f t="shared" si="0"/>
        <v>1.3783418235567801</v>
      </c>
      <c r="H49" s="775"/>
    </row>
    <row r="50" spans="1:8" x14ac:dyDescent="0.25">
      <c r="A50" s="446">
        <f t="shared" si="1"/>
        <v>29</v>
      </c>
      <c r="B50" s="7" t="s">
        <v>297</v>
      </c>
      <c r="C50" s="137">
        <v>2001</v>
      </c>
      <c r="D50" s="445">
        <v>21.60426526814673</v>
      </c>
      <c r="E50" s="445">
        <v>62.6</v>
      </c>
      <c r="F50" s="776">
        <v>16.121116403980039</v>
      </c>
      <c r="G50" s="368">
        <f t="shared" si="0"/>
        <v>1.3701707150634093</v>
      </c>
      <c r="H50" s="775"/>
    </row>
    <row r="51" spans="1:8" x14ac:dyDescent="0.25">
      <c r="A51" s="446">
        <f t="shared" si="1"/>
        <v>30</v>
      </c>
      <c r="B51" s="7" t="s">
        <v>298</v>
      </c>
      <c r="C51" s="137">
        <v>2001</v>
      </c>
      <c r="D51" s="445">
        <v>21.684710011321371</v>
      </c>
      <c r="E51" s="445">
        <v>62.6</v>
      </c>
      <c r="F51" s="776">
        <v>16.164375213650825</v>
      </c>
      <c r="G51" s="368">
        <f t="shared" si="0"/>
        <v>1.3724961071441748</v>
      </c>
      <c r="H51" s="775"/>
    </row>
    <row r="52" spans="1:8" x14ac:dyDescent="0.25">
      <c r="A52" s="446">
        <f t="shared" si="1"/>
        <v>31</v>
      </c>
      <c r="B52" s="7" t="s">
        <v>299</v>
      </c>
      <c r="C52" s="137">
        <v>2001</v>
      </c>
      <c r="D52" s="445">
        <v>21.684710011321371</v>
      </c>
      <c r="E52" s="445">
        <v>63.7</v>
      </c>
      <c r="F52" s="776">
        <v>16.827676961936231</v>
      </c>
      <c r="G52" s="368">
        <f t="shared" si="0"/>
        <v>1.3973555306086496</v>
      </c>
      <c r="H52" s="775"/>
    </row>
    <row r="53" spans="1:8" x14ac:dyDescent="0.25">
      <c r="A53" s="446">
        <f t="shared" si="1"/>
        <v>32</v>
      </c>
      <c r="B53" s="7" t="s">
        <v>299</v>
      </c>
      <c r="C53" s="137">
        <v>2001</v>
      </c>
      <c r="D53" s="445">
        <v>21.684710011321371</v>
      </c>
      <c r="E53" s="445">
        <v>63.7</v>
      </c>
      <c r="F53" s="776">
        <v>16.827676961936231</v>
      </c>
      <c r="G53" s="368">
        <f t="shared" si="0"/>
        <v>1.3973555306086496</v>
      </c>
      <c r="H53" s="775"/>
    </row>
    <row r="54" spans="1:8" x14ac:dyDescent="0.25">
      <c r="A54" s="446">
        <f t="shared" si="1"/>
        <v>33</v>
      </c>
      <c r="B54" s="7" t="s">
        <v>300</v>
      </c>
      <c r="C54" s="137">
        <v>2001</v>
      </c>
      <c r="D54" s="445">
        <v>21.684710011321371</v>
      </c>
      <c r="E54" s="445">
        <v>63.7</v>
      </c>
      <c r="F54" s="776">
        <v>16.769998549041844</v>
      </c>
      <c r="G54" s="368">
        <f t="shared" si="0"/>
        <v>1.3959344682619763</v>
      </c>
      <c r="H54" s="775"/>
    </row>
    <row r="55" spans="1:8" x14ac:dyDescent="0.25">
      <c r="A55" s="446">
        <f t="shared" si="1"/>
        <v>34</v>
      </c>
      <c r="B55" s="7" t="s">
        <v>289</v>
      </c>
      <c r="C55" s="137">
        <v>2001</v>
      </c>
      <c r="D55" s="445">
        <v>22.7874603234002</v>
      </c>
      <c r="E55" s="445">
        <v>63.7</v>
      </c>
      <c r="F55" s="776">
        <v>16.741159342594653</v>
      </c>
      <c r="G55" s="368">
        <f t="shared" si="0"/>
        <v>1.4124906853961898</v>
      </c>
      <c r="H55" s="775"/>
    </row>
    <row r="56" spans="1:8" x14ac:dyDescent="0.25">
      <c r="A56" s="446">
        <f t="shared" si="1"/>
        <v>35</v>
      </c>
      <c r="B56" s="7" t="s">
        <v>290</v>
      </c>
      <c r="C56" s="137">
        <v>2001</v>
      </c>
      <c r="D56" s="445">
        <v>22.7874603234002</v>
      </c>
      <c r="E56" s="445">
        <v>64</v>
      </c>
      <c r="F56" s="776">
        <v>16.741159342594653</v>
      </c>
      <c r="G56" s="368">
        <f t="shared" si="0"/>
        <v>1.414813559890117</v>
      </c>
      <c r="H56" s="775"/>
    </row>
    <row r="57" spans="1:8" x14ac:dyDescent="0.25">
      <c r="A57" s="446">
        <f t="shared" si="1"/>
        <v>36</v>
      </c>
      <c r="B57" s="7" t="s">
        <v>291</v>
      </c>
      <c r="C57" s="137">
        <v>2001</v>
      </c>
      <c r="D57" s="445">
        <v>22.7874603234002</v>
      </c>
      <c r="E57" s="445">
        <v>64</v>
      </c>
      <c r="F57" s="776">
        <v>16.726739739371062</v>
      </c>
      <c r="G57" s="368">
        <f t="shared" si="0"/>
        <v>1.4144582943034489</v>
      </c>
      <c r="H57" s="775"/>
    </row>
    <row r="58" spans="1:8" x14ac:dyDescent="0.25">
      <c r="A58" s="446">
        <f t="shared" si="1"/>
        <v>37</v>
      </c>
      <c r="B58" s="7" t="s">
        <v>292</v>
      </c>
      <c r="C58" s="137">
        <v>2001</v>
      </c>
      <c r="D58" s="445">
        <v>22.7874603234002</v>
      </c>
      <c r="E58" s="445">
        <v>64</v>
      </c>
      <c r="F58" s="776">
        <v>17.058390613513765</v>
      </c>
      <c r="G58" s="368">
        <f t="shared" si="0"/>
        <v>1.4226294027968198</v>
      </c>
      <c r="H58" s="775"/>
    </row>
    <row r="59" spans="1:8" x14ac:dyDescent="0.25">
      <c r="A59" s="446">
        <f t="shared" si="1"/>
        <v>38</v>
      </c>
      <c r="B59" s="7" t="s">
        <v>293</v>
      </c>
      <c r="C59" s="137">
        <v>2001</v>
      </c>
      <c r="D59" s="445">
        <v>22.7874603234002</v>
      </c>
      <c r="E59" s="445">
        <v>64</v>
      </c>
      <c r="F59" s="776">
        <v>17.000712200619382</v>
      </c>
      <c r="G59" s="368">
        <f t="shared" si="0"/>
        <v>1.4212083404501465</v>
      </c>
      <c r="H59" s="775"/>
    </row>
    <row r="60" spans="1:8" x14ac:dyDescent="0.25">
      <c r="A60" s="446">
        <f t="shared" si="1"/>
        <v>39</v>
      </c>
      <c r="B60" s="7" t="s">
        <v>294</v>
      </c>
      <c r="C60" s="137">
        <v>2001</v>
      </c>
      <c r="D60" s="445">
        <v>22.7874603234002</v>
      </c>
      <c r="E60" s="445">
        <v>64</v>
      </c>
      <c r="F60" s="776">
        <v>16.640222120029485</v>
      </c>
      <c r="G60" s="368">
        <f t="shared" si="0"/>
        <v>1.412326700783439</v>
      </c>
      <c r="H60" s="775"/>
    </row>
    <row r="61" spans="1:8" x14ac:dyDescent="0.25">
      <c r="A61" s="446">
        <f t="shared" si="1"/>
        <v>40</v>
      </c>
      <c r="B61" s="7" t="s">
        <v>295</v>
      </c>
      <c r="C61" s="137">
        <v>2002</v>
      </c>
      <c r="D61" s="445">
        <v>22.7874603234002</v>
      </c>
      <c r="E61" s="445">
        <v>64</v>
      </c>
      <c r="F61" s="776">
        <v>18.298476490742999</v>
      </c>
      <c r="G61" s="368">
        <f t="shared" si="0"/>
        <v>1.4531822432502937</v>
      </c>
      <c r="H61" s="775"/>
    </row>
    <row r="62" spans="1:8" x14ac:dyDescent="0.25">
      <c r="A62" s="446">
        <f t="shared" si="1"/>
        <v>41</v>
      </c>
      <c r="B62" s="7" t="s">
        <v>296</v>
      </c>
      <c r="C62" s="137">
        <v>2002</v>
      </c>
      <c r="D62" s="445">
        <v>22.7874603234002</v>
      </c>
      <c r="E62" s="445">
        <v>67.099999999999994</v>
      </c>
      <c r="F62" s="776">
        <v>17.937986410153101</v>
      </c>
      <c r="G62" s="368">
        <f t="shared" si="0"/>
        <v>1.4683036400208329</v>
      </c>
      <c r="H62" s="775"/>
    </row>
    <row r="63" spans="1:8" x14ac:dyDescent="0.25">
      <c r="A63" s="446">
        <f t="shared" si="1"/>
        <v>42</v>
      </c>
      <c r="B63" s="7" t="s">
        <v>297</v>
      </c>
      <c r="C63" s="137">
        <v>2002</v>
      </c>
      <c r="D63" s="445">
        <v>22.7874603234002</v>
      </c>
      <c r="E63" s="445">
        <v>67.099999999999994</v>
      </c>
      <c r="F63" s="776">
        <v>17.173747439302527</v>
      </c>
      <c r="G63" s="368">
        <f t="shared" si="0"/>
        <v>1.4494745639274131</v>
      </c>
      <c r="H63" s="775"/>
    </row>
    <row r="64" spans="1:8" x14ac:dyDescent="0.25">
      <c r="A64" s="446">
        <f t="shared" si="1"/>
        <v>43</v>
      </c>
      <c r="B64" s="7" t="s">
        <v>298</v>
      </c>
      <c r="C64" s="137">
        <v>2002</v>
      </c>
      <c r="D64" s="445">
        <v>22.7874603234002</v>
      </c>
      <c r="E64" s="445">
        <v>72.8</v>
      </c>
      <c r="F64" s="776">
        <v>18.572448951991319</v>
      </c>
      <c r="G64" s="368">
        <f t="shared" si="0"/>
        <v>1.5280699412188536</v>
      </c>
      <c r="H64" s="775"/>
    </row>
    <row r="65" spans="1:8" x14ac:dyDescent="0.25">
      <c r="A65" s="446">
        <f t="shared" si="1"/>
        <v>44</v>
      </c>
      <c r="B65" s="7" t="s">
        <v>299</v>
      </c>
      <c r="C65" s="137">
        <v>2002</v>
      </c>
      <c r="D65" s="445">
        <v>22.7874603234002</v>
      </c>
      <c r="E65" s="445">
        <v>78.7</v>
      </c>
      <c r="F65" s="776">
        <v>18.52919014232053</v>
      </c>
      <c r="G65" s="368">
        <f t="shared" si="0"/>
        <v>1.5726873428394157</v>
      </c>
      <c r="H65" s="775"/>
    </row>
    <row r="66" spans="1:8" x14ac:dyDescent="0.25">
      <c r="A66" s="446">
        <f t="shared" si="1"/>
        <v>45</v>
      </c>
      <c r="B66" s="7" t="s">
        <v>300</v>
      </c>
      <c r="C66" s="137">
        <v>2002</v>
      </c>
      <c r="D66" s="445">
        <v>22.7874603234002</v>
      </c>
      <c r="E66" s="445">
        <v>78.7</v>
      </c>
      <c r="F66" s="776">
        <v>18.788743000345249</v>
      </c>
      <c r="G66" s="368">
        <f t="shared" si="0"/>
        <v>1.579082123399445</v>
      </c>
      <c r="H66" s="775"/>
    </row>
    <row r="67" spans="1:8" x14ac:dyDescent="0.25">
      <c r="A67" s="446">
        <f t="shared" si="1"/>
        <v>46</v>
      </c>
      <c r="B67" s="7" t="s">
        <v>289</v>
      </c>
      <c r="C67" s="137">
        <v>2002</v>
      </c>
      <c r="D67" s="445">
        <v>24.682450499195049</v>
      </c>
      <c r="E67" s="445">
        <v>78.7</v>
      </c>
      <c r="F67" s="776">
        <v>18.471511729426147</v>
      </c>
      <c r="G67" s="368">
        <f t="shared" si="0"/>
        <v>1.6009378371926879</v>
      </c>
      <c r="H67" s="775"/>
    </row>
    <row r="68" spans="1:8" x14ac:dyDescent="0.25">
      <c r="A68" s="446">
        <f t="shared" si="1"/>
        <v>47</v>
      </c>
      <c r="B68" s="7" t="s">
        <v>290</v>
      </c>
      <c r="C68" s="137">
        <v>2002</v>
      </c>
      <c r="D68" s="445">
        <v>24.682450499195049</v>
      </c>
      <c r="E68" s="445">
        <v>80</v>
      </c>
      <c r="F68" s="776">
        <v>18.312896093966593</v>
      </c>
      <c r="G68" s="368">
        <f t="shared" si="0"/>
        <v>1.6070957052130208</v>
      </c>
      <c r="H68" s="775"/>
    </row>
    <row r="69" spans="1:8" x14ac:dyDescent="0.25">
      <c r="A69" s="446">
        <f t="shared" si="1"/>
        <v>48</v>
      </c>
      <c r="B69" s="7" t="s">
        <v>291</v>
      </c>
      <c r="C69" s="137">
        <v>2002</v>
      </c>
      <c r="D69" s="445">
        <v>24.682450499195049</v>
      </c>
      <c r="E69" s="445">
        <v>80</v>
      </c>
      <c r="F69" s="776">
        <v>18.889680222910421</v>
      </c>
      <c r="G69" s="368">
        <f t="shared" si="0"/>
        <v>1.6213063286797529</v>
      </c>
      <c r="H69" s="775"/>
    </row>
    <row r="70" spans="1:8" x14ac:dyDescent="0.25">
      <c r="A70" s="446">
        <f t="shared" si="1"/>
        <v>49</v>
      </c>
      <c r="B70" s="7" t="s">
        <v>292</v>
      </c>
      <c r="C70" s="137">
        <v>2002</v>
      </c>
      <c r="D70" s="445">
        <v>24.682450499195049</v>
      </c>
      <c r="E70" s="445">
        <v>80</v>
      </c>
      <c r="F70" s="776">
        <v>20.24512292592842</v>
      </c>
      <c r="G70" s="368">
        <f t="shared" si="0"/>
        <v>1.654701293826573</v>
      </c>
      <c r="H70" s="775"/>
    </row>
    <row r="71" spans="1:8" x14ac:dyDescent="0.25">
      <c r="A71" s="446">
        <f t="shared" si="1"/>
        <v>50</v>
      </c>
      <c r="B71" s="7" t="s">
        <v>293</v>
      </c>
      <c r="C71" s="137">
        <v>2002</v>
      </c>
      <c r="D71" s="445">
        <v>24.682450499195049</v>
      </c>
      <c r="E71" s="445">
        <v>82.3</v>
      </c>
      <c r="F71" s="776">
        <v>20.807487451648658</v>
      </c>
      <c r="G71" s="368">
        <f t="shared" si="0"/>
        <v>1.6863653561600782</v>
      </c>
      <c r="H71" s="775"/>
    </row>
    <row r="72" spans="1:8" x14ac:dyDescent="0.25">
      <c r="A72" s="446">
        <f t="shared" si="1"/>
        <v>51</v>
      </c>
      <c r="B72" s="7" t="s">
        <v>294</v>
      </c>
      <c r="C72" s="137">
        <v>2002</v>
      </c>
      <c r="D72" s="445">
        <v>24.682450499195049</v>
      </c>
      <c r="E72" s="445">
        <v>82.3</v>
      </c>
      <c r="F72" s="776">
        <v>19.625079987313807</v>
      </c>
      <c r="G72" s="368">
        <f t="shared" si="0"/>
        <v>1.6572335780532776</v>
      </c>
      <c r="H72" s="775"/>
    </row>
    <row r="73" spans="1:8" x14ac:dyDescent="0.25">
      <c r="A73" s="446">
        <f t="shared" si="1"/>
        <v>52</v>
      </c>
      <c r="B73" s="7" t="s">
        <v>295</v>
      </c>
      <c r="C73" s="137">
        <v>2003</v>
      </c>
      <c r="D73" s="445">
        <v>24.682450499195049</v>
      </c>
      <c r="E73" s="445">
        <v>82.3</v>
      </c>
      <c r="F73" s="776">
        <v>17.476559106998039</v>
      </c>
      <c r="G73" s="368">
        <f t="shared" si="0"/>
        <v>1.6042990056397008</v>
      </c>
      <c r="H73" s="775"/>
    </row>
    <row r="74" spans="1:8" x14ac:dyDescent="0.25">
      <c r="A74" s="446">
        <f t="shared" si="1"/>
        <v>53</v>
      </c>
      <c r="B74" s="7" t="s">
        <v>296</v>
      </c>
      <c r="C74" s="137">
        <v>2003</v>
      </c>
      <c r="D74" s="445">
        <v>24.682450499195049</v>
      </c>
      <c r="E74" s="445">
        <v>83.3</v>
      </c>
      <c r="F74" s="776">
        <v>17.923566806929507</v>
      </c>
      <c r="G74" s="368">
        <f t="shared" si="0"/>
        <v>1.623055153806175</v>
      </c>
      <c r="H74" s="775"/>
    </row>
    <row r="75" spans="1:8" x14ac:dyDescent="0.25">
      <c r="A75" s="446">
        <f t="shared" si="1"/>
        <v>54</v>
      </c>
      <c r="B75" s="7" t="s">
        <v>297</v>
      </c>
      <c r="C75" s="137">
        <v>2003</v>
      </c>
      <c r="D75" s="445">
        <v>24.682450499195049</v>
      </c>
      <c r="E75" s="445">
        <v>83.3</v>
      </c>
      <c r="F75" s="776">
        <v>19.178072287382339</v>
      </c>
      <c r="G75" s="368">
        <f t="shared" si="0"/>
        <v>1.6539632598463174</v>
      </c>
      <c r="H75" s="775"/>
    </row>
    <row r="76" spans="1:8" x14ac:dyDescent="0.25">
      <c r="A76" s="446">
        <f t="shared" si="1"/>
        <v>55</v>
      </c>
      <c r="B76" s="7" t="s">
        <v>298</v>
      </c>
      <c r="C76" s="137">
        <v>2003</v>
      </c>
      <c r="D76" s="445">
        <v>24.682450499195049</v>
      </c>
      <c r="E76" s="445">
        <v>83.3</v>
      </c>
      <c r="F76" s="776">
        <v>19.971150464680104</v>
      </c>
      <c r="G76" s="368">
        <f t="shared" si="0"/>
        <v>1.6735028671130738</v>
      </c>
      <c r="H76" s="775"/>
    </row>
    <row r="77" spans="1:8" x14ac:dyDescent="0.25">
      <c r="A77" s="446">
        <f t="shared" si="1"/>
        <v>56</v>
      </c>
      <c r="B77" s="7" t="s">
        <v>299</v>
      </c>
      <c r="C77" s="137">
        <v>2003</v>
      </c>
      <c r="D77" s="445">
        <v>24.682450499195049</v>
      </c>
      <c r="E77" s="445">
        <v>82.7</v>
      </c>
      <c r="F77" s="776">
        <v>15.255940210564294</v>
      </c>
      <c r="G77" s="368">
        <f t="shared" si="0"/>
        <v>1.5526852712846853</v>
      </c>
      <c r="H77" s="775"/>
    </row>
    <row r="78" spans="1:8" x14ac:dyDescent="0.25">
      <c r="A78" s="446">
        <f t="shared" si="1"/>
        <v>57</v>
      </c>
      <c r="B78" s="7" t="s">
        <v>300</v>
      </c>
      <c r="C78" s="137">
        <v>2003</v>
      </c>
      <c r="D78" s="445">
        <v>24.682450499195049</v>
      </c>
      <c r="E78" s="445">
        <v>82.7</v>
      </c>
      <c r="F78" s="776">
        <v>14.059113143005847</v>
      </c>
      <c r="G78" s="368">
        <f t="shared" si="0"/>
        <v>1.5231982275912164</v>
      </c>
      <c r="H78" s="775"/>
    </row>
    <row r="79" spans="1:8" x14ac:dyDescent="0.25">
      <c r="A79" s="446">
        <f t="shared" si="1"/>
        <v>58</v>
      </c>
      <c r="B79" s="7" t="s">
        <v>289</v>
      </c>
      <c r="C79" s="137">
        <v>2003</v>
      </c>
      <c r="D79" s="445">
        <v>26.464442417067541</v>
      </c>
      <c r="E79" s="445">
        <v>82.7</v>
      </c>
      <c r="F79" s="776">
        <v>15.573171481483403</v>
      </c>
      <c r="G79" s="368">
        <f t="shared" si="0"/>
        <v>1.5884033560633388</v>
      </c>
      <c r="H79" s="775"/>
    </row>
    <row r="80" spans="1:8" x14ac:dyDescent="0.25">
      <c r="A80" s="446">
        <f t="shared" si="1"/>
        <v>59</v>
      </c>
      <c r="B80" s="7" t="s">
        <v>290</v>
      </c>
      <c r="C80" s="137">
        <v>2003</v>
      </c>
      <c r="D80" s="445">
        <v>26.464442417067541</v>
      </c>
      <c r="E80" s="445">
        <v>82.6</v>
      </c>
      <c r="F80" s="776">
        <v>14.981967749315976</v>
      </c>
      <c r="G80" s="368">
        <f t="shared" si="0"/>
        <v>1.5730631755119626</v>
      </c>
      <c r="H80" s="775"/>
    </row>
    <row r="81" spans="1:8" x14ac:dyDescent="0.25">
      <c r="A81" s="446">
        <f t="shared" si="1"/>
        <v>60</v>
      </c>
      <c r="B81" s="7" t="s">
        <v>291</v>
      </c>
      <c r="C81" s="137">
        <v>2003</v>
      </c>
      <c r="D81" s="445">
        <v>26.464442417067541</v>
      </c>
      <c r="E81" s="445">
        <v>82.6</v>
      </c>
      <c r="F81" s="776">
        <v>15.34245782990587</v>
      </c>
      <c r="G81" s="368">
        <f t="shared" si="0"/>
        <v>1.5819448151786704</v>
      </c>
      <c r="H81" s="775"/>
    </row>
    <row r="82" spans="1:8" x14ac:dyDescent="0.25">
      <c r="A82" s="446">
        <f t="shared" si="1"/>
        <v>61</v>
      </c>
      <c r="B82" s="7" t="s">
        <v>292</v>
      </c>
      <c r="C82" s="137">
        <v>2003</v>
      </c>
      <c r="D82" s="445">
        <v>26.464442417067541</v>
      </c>
      <c r="E82" s="445">
        <v>82.6</v>
      </c>
      <c r="F82" s="776">
        <v>14.953128542868786</v>
      </c>
      <c r="G82" s="368">
        <f t="shared" si="0"/>
        <v>1.572352644338626</v>
      </c>
      <c r="H82" s="775"/>
    </row>
    <row r="83" spans="1:8" x14ac:dyDescent="0.25">
      <c r="A83" s="446">
        <f t="shared" si="1"/>
        <v>62</v>
      </c>
      <c r="B83" s="7" t="s">
        <v>293</v>
      </c>
      <c r="C83" s="137">
        <v>2003</v>
      </c>
      <c r="D83" s="445">
        <v>26.464442417067541</v>
      </c>
      <c r="E83" s="445">
        <v>80.8</v>
      </c>
      <c r="F83" s="776">
        <v>15.630849894377786</v>
      </c>
      <c r="G83" s="368">
        <f t="shared" si="0"/>
        <v>1.5751128799484735</v>
      </c>
      <c r="H83" s="775"/>
    </row>
    <row r="84" spans="1:8" x14ac:dyDescent="0.25">
      <c r="A84" s="446">
        <f t="shared" si="1"/>
        <v>63</v>
      </c>
      <c r="B84" s="7" t="s">
        <v>294</v>
      </c>
      <c r="C84" s="443">
        <v>2003</v>
      </c>
      <c r="D84" s="556">
        <v>26.464442417067541</v>
      </c>
      <c r="E84" s="374">
        <v>80.8</v>
      </c>
      <c r="F84" s="776">
        <v>15.371297036353061</v>
      </c>
      <c r="G84" s="368">
        <f t="shared" si="0"/>
        <v>1.5687180993884438</v>
      </c>
      <c r="H84" s="775"/>
    </row>
    <row r="85" spans="1:8" x14ac:dyDescent="0.25">
      <c r="A85" s="446">
        <f t="shared" si="1"/>
        <v>64</v>
      </c>
      <c r="B85" s="7" t="s">
        <v>295</v>
      </c>
      <c r="C85" s="443">
        <v>2004</v>
      </c>
      <c r="D85" s="556">
        <v>26.464442417067541</v>
      </c>
      <c r="E85" s="374">
        <v>80.8</v>
      </c>
      <c r="F85" s="776">
        <v>14.909869733197997</v>
      </c>
      <c r="G85" s="368">
        <f t="shared" si="0"/>
        <v>1.5573496006150584</v>
      </c>
      <c r="H85" s="775"/>
    </row>
    <row r="86" spans="1:8" x14ac:dyDescent="0.25">
      <c r="A86" s="446">
        <f t="shared" si="1"/>
        <v>65</v>
      </c>
      <c r="B86" s="7" t="s">
        <v>296</v>
      </c>
      <c r="C86" s="443">
        <v>2004</v>
      </c>
      <c r="D86" s="556">
        <v>26.464442417067541</v>
      </c>
      <c r="E86" s="375">
        <v>79.900000000000006</v>
      </c>
      <c r="F86" s="776">
        <v>16.957453390948594</v>
      </c>
      <c r="G86" s="368">
        <f t="shared" si="0"/>
        <v>1.6008286904401758</v>
      </c>
      <c r="H86" s="775"/>
    </row>
    <row r="87" spans="1:8" x14ac:dyDescent="0.25">
      <c r="A87" s="446">
        <f t="shared" si="1"/>
        <v>66</v>
      </c>
      <c r="B87" s="7" t="s">
        <v>297</v>
      </c>
      <c r="C87" s="443">
        <v>2004</v>
      </c>
      <c r="D87" s="556">
        <v>26.464442417067541</v>
      </c>
      <c r="E87" s="375">
        <v>79.900000000000006</v>
      </c>
      <c r="F87" s="776">
        <v>16.164375213650825</v>
      </c>
      <c r="G87" s="368">
        <f t="shared" si="0"/>
        <v>1.5812890831734192</v>
      </c>
      <c r="H87" s="775"/>
    </row>
    <row r="88" spans="1:8" x14ac:dyDescent="0.25">
      <c r="A88" s="446">
        <f t="shared" si="1"/>
        <v>67</v>
      </c>
      <c r="B88" s="7" t="s">
        <v>298</v>
      </c>
      <c r="C88" s="443">
        <v>2004</v>
      </c>
      <c r="D88" s="556">
        <v>26.464442417067541</v>
      </c>
      <c r="E88" s="375">
        <v>79.900000000000006</v>
      </c>
      <c r="F88" s="776">
        <v>16.712320136147465</v>
      </c>
      <c r="G88" s="368">
        <f t="shared" si="0"/>
        <v>1.5947891754668149</v>
      </c>
      <c r="H88" s="775"/>
    </row>
    <row r="89" spans="1:8" x14ac:dyDescent="0.25">
      <c r="A89" s="446">
        <f t="shared" si="1"/>
        <v>68</v>
      </c>
      <c r="B89" s="7" t="s">
        <v>299</v>
      </c>
      <c r="C89" s="443">
        <v>2004</v>
      </c>
      <c r="D89" s="556">
        <v>26.464442417067541</v>
      </c>
      <c r="E89" s="375">
        <v>78.599999999999994</v>
      </c>
      <c r="F89" s="776">
        <v>16.899774978054211</v>
      </c>
      <c r="G89" s="368">
        <f t="shared" si="0"/>
        <v>1.5893418386198184</v>
      </c>
      <c r="H89" s="775"/>
    </row>
    <row r="90" spans="1:8" x14ac:dyDescent="0.25">
      <c r="A90" s="446">
        <f t="shared" si="1"/>
        <v>69</v>
      </c>
      <c r="B90" s="7" t="s">
        <v>300</v>
      </c>
      <c r="C90" s="443">
        <v>2004</v>
      </c>
      <c r="D90" s="556">
        <v>26.464442417067541</v>
      </c>
      <c r="E90" s="375">
        <v>78.599999999999994</v>
      </c>
      <c r="F90" s="776">
        <v>18.759903793898062</v>
      </c>
      <c r="G90" s="368">
        <f t="shared" si="0"/>
        <v>1.6351710993000292</v>
      </c>
      <c r="H90" s="775"/>
    </row>
    <row r="91" spans="1:8" x14ac:dyDescent="0.25">
      <c r="A91" s="446">
        <f t="shared" si="1"/>
        <v>70</v>
      </c>
      <c r="B91" s="7" t="s">
        <v>289</v>
      </c>
      <c r="C91" s="443">
        <v>2004</v>
      </c>
      <c r="D91" s="556">
        <v>28.427669768006631</v>
      </c>
      <c r="E91" s="375">
        <v>78.599999999999994</v>
      </c>
      <c r="F91" s="776">
        <v>17.591915932786804</v>
      </c>
      <c r="G91" s="368">
        <f t="shared" si="0"/>
        <v>1.6371345939853903</v>
      </c>
      <c r="H91" s="775"/>
    </row>
    <row r="92" spans="1:8" x14ac:dyDescent="0.25">
      <c r="A92" s="446">
        <f t="shared" si="1"/>
        <v>71</v>
      </c>
      <c r="B92" s="7" t="s">
        <v>290</v>
      </c>
      <c r="C92" s="443">
        <v>2004</v>
      </c>
      <c r="D92" s="556">
        <v>28.427669768006631</v>
      </c>
      <c r="E92" s="375">
        <v>78.5</v>
      </c>
      <c r="F92" s="776">
        <v>18.25521768107221</v>
      </c>
      <c r="G92" s="368">
        <f t="shared" si="0"/>
        <v>1.6527025194741567</v>
      </c>
      <c r="H92" s="775"/>
    </row>
    <row r="93" spans="1:8" x14ac:dyDescent="0.25">
      <c r="A93" s="446">
        <f t="shared" si="1"/>
        <v>72</v>
      </c>
      <c r="B93" s="7" t="s">
        <v>291</v>
      </c>
      <c r="C93" s="443">
        <v>2004</v>
      </c>
      <c r="D93" s="556">
        <v>28.427669768006631</v>
      </c>
      <c r="E93" s="375">
        <v>78.5</v>
      </c>
      <c r="F93" s="776">
        <v>20.072087687245272</v>
      </c>
      <c r="G93" s="368">
        <f t="shared" si="0"/>
        <v>1.6974659833943626</v>
      </c>
      <c r="H93" s="775"/>
    </row>
    <row r="94" spans="1:8" x14ac:dyDescent="0.25">
      <c r="A94" s="446">
        <f t="shared" si="1"/>
        <v>73</v>
      </c>
      <c r="B94" s="7" t="s">
        <v>292</v>
      </c>
      <c r="C94" s="443">
        <v>2004</v>
      </c>
      <c r="D94" s="556">
        <v>28.427669768006631</v>
      </c>
      <c r="E94" s="375">
        <v>78.5</v>
      </c>
      <c r="F94" s="776">
        <v>21.341012770921697</v>
      </c>
      <c r="G94" s="368">
        <f t="shared" si="0"/>
        <v>1.7287293550211731</v>
      </c>
      <c r="H94" s="775"/>
    </row>
    <row r="95" spans="1:8" x14ac:dyDescent="0.25">
      <c r="A95" s="446">
        <f t="shared" si="1"/>
        <v>74</v>
      </c>
      <c r="B95" s="7" t="s">
        <v>293</v>
      </c>
      <c r="C95" s="443">
        <v>2004</v>
      </c>
      <c r="D95" s="556">
        <v>28.427669768006631</v>
      </c>
      <c r="E95" s="375">
        <v>78.5</v>
      </c>
      <c r="F95" s="776">
        <v>22.782973093281271</v>
      </c>
      <c r="G95" s="368">
        <f t="shared" si="0"/>
        <v>1.7642559136880034</v>
      </c>
      <c r="H95" s="775"/>
    </row>
    <row r="96" spans="1:8" x14ac:dyDescent="0.25">
      <c r="A96" s="446">
        <f t="shared" si="1"/>
        <v>75</v>
      </c>
      <c r="B96" s="7" t="s">
        <v>294</v>
      </c>
      <c r="C96" s="443">
        <v>2004</v>
      </c>
      <c r="D96" s="556">
        <v>28.427669768006631</v>
      </c>
      <c r="E96" s="375">
        <v>78.5</v>
      </c>
      <c r="F96" s="776">
        <v>20.966103087108213</v>
      </c>
      <c r="G96" s="368">
        <f t="shared" si="0"/>
        <v>1.7194924497677975</v>
      </c>
      <c r="H96" s="775"/>
    </row>
    <row r="97" spans="1:8" x14ac:dyDescent="0.25">
      <c r="A97" s="446">
        <f t="shared" si="1"/>
        <v>76</v>
      </c>
      <c r="B97" s="7" t="s">
        <v>295</v>
      </c>
      <c r="C97" s="443">
        <v>2005</v>
      </c>
      <c r="D97" s="556">
        <v>28.427669768006631</v>
      </c>
      <c r="E97" s="375">
        <v>78.5</v>
      </c>
      <c r="F97" s="776">
        <v>18.558029348767718</v>
      </c>
      <c r="G97" s="368">
        <f t="shared" si="0"/>
        <v>1.6601630967941912</v>
      </c>
      <c r="H97" s="775"/>
    </row>
    <row r="98" spans="1:8" x14ac:dyDescent="0.25">
      <c r="A98" s="446">
        <f t="shared" si="1"/>
        <v>77</v>
      </c>
      <c r="B98" s="7" t="s">
        <v>296</v>
      </c>
      <c r="C98" s="443">
        <v>2005</v>
      </c>
      <c r="D98" s="556">
        <v>28.427669768006631</v>
      </c>
      <c r="E98" s="375">
        <v>78.3</v>
      </c>
      <c r="F98" s="776">
        <v>18.774323397121655</v>
      </c>
      <c r="G98" s="368">
        <f t="shared" si="0"/>
        <v>1.6639434975982641</v>
      </c>
      <c r="H98" s="775"/>
    </row>
    <row r="99" spans="1:8" x14ac:dyDescent="0.25">
      <c r="A99" s="446">
        <f t="shared" si="1"/>
        <v>78</v>
      </c>
      <c r="B99" s="7" t="s">
        <v>297</v>
      </c>
      <c r="C99" s="443">
        <v>2005</v>
      </c>
      <c r="D99" s="556">
        <v>28.427669768006631</v>
      </c>
      <c r="E99" s="375">
        <v>78.3</v>
      </c>
      <c r="F99" s="776">
        <v>20.620032609741912</v>
      </c>
      <c r="G99" s="368">
        <f t="shared" si="0"/>
        <v>1.7094174926918067</v>
      </c>
      <c r="H99" s="775"/>
    </row>
    <row r="100" spans="1:8" x14ac:dyDescent="0.25">
      <c r="A100" s="446">
        <f t="shared" si="1"/>
        <v>79</v>
      </c>
      <c r="B100" s="7" t="s">
        <v>298</v>
      </c>
      <c r="C100" s="443">
        <v>2005</v>
      </c>
      <c r="D100" s="556">
        <v>28.427669768006631</v>
      </c>
      <c r="E100" s="375">
        <v>78.3</v>
      </c>
      <c r="F100" s="776">
        <v>23.922121747945337</v>
      </c>
      <c r="G100" s="368">
        <f t="shared" si="0"/>
        <v>1.7907733120388474</v>
      </c>
      <c r="H100" s="775"/>
    </row>
    <row r="101" spans="1:8" x14ac:dyDescent="0.25">
      <c r="A101" s="446">
        <f t="shared" si="1"/>
        <v>80</v>
      </c>
      <c r="B101" s="7" t="s">
        <v>299</v>
      </c>
      <c r="C101" s="443">
        <v>2005</v>
      </c>
      <c r="D101" s="556">
        <v>28.427669768006631</v>
      </c>
      <c r="E101" s="375">
        <v>78.599999999999994</v>
      </c>
      <c r="F101" s="776">
        <v>24.181674605970059</v>
      </c>
      <c r="G101" s="368">
        <f t="shared" si="0"/>
        <v>1.7994909670928037</v>
      </c>
      <c r="H101" s="775"/>
    </row>
    <row r="102" spans="1:8" x14ac:dyDescent="0.25">
      <c r="A102" s="446">
        <f t="shared" si="1"/>
        <v>81</v>
      </c>
      <c r="B102" s="7" t="s">
        <v>300</v>
      </c>
      <c r="C102" s="443">
        <v>2005</v>
      </c>
      <c r="D102" s="556">
        <v>28.427669768006631</v>
      </c>
      <c r="E102" s="375">
        <v>78.599999999999994</v>
      </c>
      <c r="F102" s="776">
        <v>22.912749522293637</v>
      </c>
      <c r="G102" s="368">
        <f t="shared" si="0"/>
        <v>1.7682275954659934</v>
      </c>
      <c r="H102" s="775"/>
    </row>
    <row r="103" spans="1:8" x14ac:dyDescent="0.25">
      <c r="A103" s="446">
        <f t="shared" si="1"/>
        <v>82</v>
      </c>
      <c r="B103" s="7" t="s">
        <v>289</v>
      </c>
      <c r="C103" s="443">
        <v>2005</v>
      </c>
      <c r="D103" s="556">
        <v>29.975213776782599</v>
      </c>
      <c r="E103" s="375">
        <v>78.599999999999994</v>
      </c>
      <c r="F103" s="776">
        <v>26.431132708850999</v>
      </c>
      <c r="G103" s="368">
        <f t="shared" ref="G103:G127" si="2">((1-$B$15)*(($B$16*D103/$E$15)+($B$17*E103/$E$17)+($B$18*F103/$E$19)-1))+1</f>
        <v>1.879143679803104</v>
      </c>
      <c r="H103" s="775"/>
    </row>
    <row r="104" spans="1:8" x14ac:dyDescent="0.25">
      <c r="A104" s="446">
        <f t="shared" ref="A104:A167" si="3">A103+1</f>
        <v>83</v>
      </c>
      <c r="B104" s="7" t="s">
        <v>290</v>
      </c>
      <c r="C104" s="443">
        <v>2005</v>
      </c>
      <c r="D104" s="556">
        <v>29.975213776782599</v>
      </c>
      <c r="E104" s="375">
        <v>78.400000000000006</v>
      </c>
      <c r="F104" s="776">
        <v>27.108854060359995</v>
      </c>
      <c r="G104" s="368">
        <f t="shared" si="2"/>
        <v>1.8942925793805623</v>
      </c>
      <c r="H104" s="775"/>
    </row>
    <row r="105" spans="1:8" x14ac:dyDescent="0.25">
      <c r="A105" s="446">
        <f t="shared" si="3"/>
        <v>84</v>
      </c>
      <c r="B105" s="7" t="s">
        <v>291</v>
      </c>
      <c r="C105" s="443">
        <v>2005</v>
      </c>
      <c r="D105" s="556">
        <v>29.975213776782599</v>
      </c>
      <c r="E105" s="375">
        <v>78.400000000000006</v>
      </c>
      <c r="F105" s="776">
        <v>26.99349723457123</v>
      </c>
      <c r="G105" s="368">
        <f t="shared" si="2"/>
        <v>1.8914504546872157</v>
      </c>
      <c r="H105" s="775"/>
    </row>
    <row r="106" spans="1:8" x14ac:dyDescent="0.25">
      <c r="A106" s="446">
        <f t="shared" si="3"/>
        <v>85</v>
      </c>
      <c r="B106" s="7" t="s">
        <v>292</v>
      </c>
      <c r="C106" s="443">
        <v>2005</v>
      </c>
      <c r="D106" s="556">
        <v>29.975213776782599</v>
      </c>
      <c r="E106" s="375">
        <v>78.400000000000006</v>
      </c>
      <c r="F106" s="776">
        <v>27.844253824763378</v>
      </c>
      <c r="G106" s="368">
        <f t="shared" si="2"/>
        <v>1.9124111243006456</v>
      </c>
      <c r="H106" s="775"/>
    </row>
    <row r="107" spans="1:8" x14ac:dyDescent="0.25">
      <c r="A107" s="446">
        <f t="shared" si="3"/>
        <v>86</v>
      </c>
      <c r="B107" s="7" t="s">
        <v>293</v>
      </c>
      <c r="C107" s="443">
        <v>2005</v>
      </c>
      <c r="D107" s="556">
        <v>29.975213776782599</v>
      </c>
      <c r="E107" s="375">
        <v>78.5</v>
      </c>
      <c r="F107" s="776">
        <v>27.815414618316186</v>
      </c>
      <c r="G107" s="368">
        <f t="shared" si="2"/>
        <v>1.9124748846252846</v>
      </c>
      <c r="H107" s="775"/>
    </row>
    <row r="108" spans="1:8" x14ac:dyDescent="0.25">
      <c r="A108" s="446">
        <f t="shared" si="3"/>
        <v>87</v>
      </c>
      <c r="B108" s="7" t="s">
        <v>294</v>
      </c>
      <c r="C108" s="443">
        <v>2005</v>
      </c>
      <c r="D108" s="556">
        <v>29.975213776782599</v>
      </c>
      <c r="E108" s="375">
        <v>78.5</v>
      </c>
      <c r="F108" s="776">
        <v>25.666893738000422</v>
      </c>
      <c r="G108" s="368">
        <f t="shared" si="2"/>
        <v>1.859540312211708</v>
      </c>
      <c r="H108" s="775"/>
    </row>
    <row r="109" spans="1:8" x14ac:dyDescent="0.25">
      <c r="A109" s="446">
        <f t="shared" si="3"/>
        <v>88</v>
      </c>
      <c r="B109" s="7" t="s">
        <v>295</v>
      </c>
      <c r="C109" s="443">
        <v>2006</v>
      </c>
      <c r="D109" s="556">
        <v>29.975213776782599</v>
      </c>
      <c r="E109" s="375">
        <v>78.5</v>
      </c>
      <c r="F109" s="776">
        <v>25.508278102540871</v>
      </c>
      <c r="G109" s="368">
        <f t="shared" si="2"/>
        <v>1.8556323907583567</v>
      </c>
      <c r="H109" s="775"/>
    </row>
    <row r="110" spans="1:8" x14ac:dyDescent="0.25">
      <c r="A110" s="446">
        <f t="shared" si="3"/>
        <v>89</v>
      </c>
      <c r="B110" s="7" t="s">
        <v>296</v>
      </c>
      <c r="C110" s="443">
        <v>2006</v>
      </c>
      <c r="D110" s="556">
        <v>29.975213776782599</v>
      </c>
      <c r="E110" s="375">
        <v>78.3</v>
      </c>
      <c r="F110" s="776">
        <v>25.479438896093676</v>
      </c>
      <c r="G110" s="368">
        <f t="shared" si="2"/>
        <v>1.8533732765890685</v>
      </c>
      <c r="H110" s="775"/>
    </row>
    <row r="111" spans="1:8" x14ac:dyDescent="0.25">
      <c r="A111" s="446">
        <f t="shared" si="3"/>
        <v>90</v>
      </c>
      <c r="B111" s="7" t="s">
        <v>297</v>
      </c>
      <c r="C111" s="443">
        <v>2006</v>
      </c>
      <c r="D111" s="556">
        <v>29.975213776782599</v>
      </c>
      <c r="E111" s="375">
        <v>78.3</v>
      </c>
      <c r="F111" s="776">
        <v>25.205466434845359</v>
      </c>
      <c r="G111" s="368">
        <f t="shared" si="2"/>
        <v>1.8466232304423706</v>
      </c>
      <c r="H111" s="775"/>
    </row>
    <row r="112" spans="1:8" x14ac:dyDescent="0.25">
      <c r="A112" s="446">
        <f t="shared" si="3"/>
        <v>91</v>
      </c>
      <c r="B112" s="7" t="s">
        <v>298</v>
      </c>
      <c r="C112" s="443">
        <v>2006</v>
      </c>
      <c r="D112" s="556">
        <v>29.975213776782599</v>
      </c>
      <c r="E112" s="375">
        <v>78.3</v>
      </c>
      <c r="F112" s="776">
        <v>28.002869460222932</v>
      </c>
      <c r="G112" s="368">
        <f t="shared" si="2"/>
        <v>1.9155447542560213</v>
      </c>
      <c r="H112" s="775"/>
    </row>
    <row r="113" spans="1:8" x14ac:dyDescent="0.25">
      <c r="A113" s="446">
        <f t="shared" si="3"/>
        <v>92</v>
      </c>
      <c r="B113" s="7" t="s">
        <v>299</v>
      </c>
      <c r="C113" s="443">
        <v>2006</v>
      </c>
      <c r="D113" s="556">
        <v>29.975213776782599</v>
      </c>
      <c r="E113" s="375">
        <v>78.2</v>
      </c>
      <c r="F113" s="776">
        <v>30.612817643693759</v>
      </c>
      <c r="G113" s="368">
        <f t="shared" si="2"/>
        <v>1.9790735339450083</v>
      </c>
      <c r="H113" s="775"/>
    </row>
    <row r="114" spans="1:8" x14ac:dyDescent="0.25">
      <c r="A114" s="446">
        <f t="shared" si="3"/>
        <v>93</v>
      </c>
      <c r="B114" s="7" t="s">
        <v>300</v>
      </c>
      <c r="C114" s="443">
        <v>2006</v>
      </c>
      <c r="D114" s="556">
        <v>29.975213776782599</v>
      </c>
      <c r="E114" s="375">
        <v>78.2</v>
      </c>
      <c r="F114" s="776">
        <v>32.948793365916274</v>
      </c>
      <c r="G114" s="368">
        <f t="shared" si="2"/>
        <v>2.0366265589852732</v>
      </c>
      <c r="H114" s="775"/>
    </row>
    <row r="115" spans="1:8" x14ac:dyDescent="0.25">
      <c r="A115" s="446">
        <f t="shared" si="3"/>
        <v>94</v>
      </c>
      <c r="B115" s="7" t="s">
        <v>289</v>
      </c>
      <c r="C115" s="443">
        <v>2006</v>
      </c>
      <c r="D115" s="556">
        <v>31.52964410598597</v>
      </c>
      <c r="E115" s="375">
        <v>78.2</v>
      </c>
      <c r="F115" s="776">
        <v>35.731776788070249</v>
      </c>
      <c r="G115" s="368">
        <f t="shared" si="2"/>
        <v>2.1295319236826762</v>
      </c>
      <c r="H115" s="775"/>
    </row>
    <row r="116" spans="1:8" x14ac:dyDescent="0.25">
      <c r="A116" s="446">
        <f t="shared" si="3"/>
        <v>95</v>
      </c>
      <c r="B116" s="7" t="s">
        <v>290</v>
      </c>
      <c r="C116" s="443">
        <v>2006</v>
      </c>
      <c r="D116" s="556">
        <v>31.52964410598597</v>
      </c>
      <c r="E116" s="375">
        <v>79</v>
      </c>
      <c r="F116" s="776">
        <v>38.096591716739951</v>
      </c>
      <c r="G116" s="368">
        <f t="shared" si="2"/>
        <v>2.1939898118800834</v>
      </c>
      <c r="H116" s="775"/>
    </row>
    <row r="117" spans="1:8" x14ac:dyDescent="0.25">
      <c r="A117" s="446">
        <f t="shared" si="3"/>
        <v>96</v>
      </c>
      <c r="B117" s="7" t="s">
        <v>291</v>
      </c>
      <c r="C117" s="443">
        <v>2006</v>
      </c>
      <c r="D117" s="556">
        <v>31.52964410598597</v>
      </c>
      <c r="E117" s="375">
        <v>79</v>
      </c>
      <c r="F117" s="776">
        <v>36.697890204051163</v>
      </c>
      <c r="G117" s="368">
        <f t="shared" si="2"/>
        <v>2.1595290499732576</v>
      </c>
      <c r="H117" s="775"/>
    </row>
    <row r="118" spans="1:8" x14ac:dyDescent="0.25">
      <c r="A118" s="446">
        <f t="shared" si="3"/>
        <v>97</v>
      </c>
      <c r="B118" s="7" t="s">
        <v>292</v>
      </c>
      <c r="C118" s="443">
        <v>2006</v>
      </c>
      <c r="D118" s="556">
        <v>31.52964410598597</v>
      </c>
      <c r="E118" s="375">
        <v>79</v>
      </c>
      <c r="F118" s="776">
        <v>34.275396862487071</v>
      </c>
      <c r="G118" s="368">
        <f t="shared" si="2"/>
        <v>2.0998444314129827</v>
      </c>
      <c r="H118" s="775"/>
    </row>
    <row r="119" spans="1:8" x14ac:dyDescent="0.25">
      <c r="A119" s="446">
        <f t="shared" si="3"/>
        <v>98</v>
      </c>
      <c r="B119" s="7" t="s">
        <v>293</v>
      </c>
      <c r="C119" s="443">
        <v>2006</v>
      </c>
      <c r="D119" s="556">
        <v>31.52964410598597</v>
      </c>
      <c r="E119" s="375">
        <v>79.7</v>
      </c>
      <c r="F119" s="776">
        <v>33.828389162555609</v>
      </c>
      <c r="G119" s="368">
        <f t="shared" si="2"/>
        <v>2.0942512387120957</v>
      </c>
      <c r="H119" s="775"/>
    </row>
    <row r="120" spans="1:8" x14ac:dyDescent="0.25">
      <c r="A120" s="446">
        <f t="shared" si="3"/>
        <v>99</v>
      </c>
      <c r="B120" s="7" t="s">
        <v>294</v>
      </c>
      <c r="C120" s="443">
        <v>2006</v>
      </c>
      <c r="D120" s="556">
        <v>31.52964410598597</v>
      </c>
      <c r="E120" s="375">
        <v>79.7</v>
      </c>
      <c r="F120" s="776">
        <v>31.377056614544333</v>
      </c>
      <c r="G120" s="368">
        <f t="shared" si="2"/>
        <v>2.0338560889784847</v>
      </c>
      <c r="H120" s="775"/>
    </row>
    <row r="121" spans="1:8" x14ac:dyDescent="0.25">
      <c r="A121" s="446">
        <f t="shared" si="3"/>
        <v>100</v>
      </c>
      <c r="B121" s="7" t="s">
        <v>295</v>
      </c>
      <c r="C121" s="443">
        <v>2007</v>
      </c>
      <c r="D121" s="556">
        <v>31.52964410598597</v>
      </c>
      <c r="E121" s="375">
        <v>79.7</v>
      </c>
      <c r="F121" s="776">
        <v>30.511880421128588</v>
      </c>
      <c r="G121" s="368">
        <f t="shared" si="2"/>
        <v>2.0125401537783865</v>
      </c>
      <c r="H121" s="775"/>
    </row>
    <row r="122" spans="1:8" x14ac:dyDescent="0.25">
      <c r="A122" s="446">
        <f t="shared" si="3"/>
        <v>101</v>
      </c>
      <c r="B122" s="7" t="s">
        <v>296</v>
      </c>
      <c r="C122" s="443">
        <v>2007</v>
      </c>
      <c r="D122" s="556">
        <v>31.52964410598597</v>
      </c>
      <c r="E122" s="375">
        <v>80.3</v>
      </c>
      <c r="F122" s="776">
        <v>29.401570972911721</v>
      </c>
      <c r="G122" s="368">
        <f t="shared" si="2"/>
        <v>1.9898304525927819</v>
      </c>
      <c r="H122" s="775"/>
    </row>
    <row r="123" spans="1:8" x14ac:dyDescent="0.25">
      <c r="A123" s="446">
        <f t="shared" si="3"/>
        <v>102</v>
      </c>
      <c r="B123" s="7" t="s">
        <v>297</v>
      </c>
      <c r="C123" s="443">
        <v>2007</v>
      </c>
      <c r="D123" s="556">
        <v>31.52964410598597</v>
      </c>
      <c r="E123" s="375">
        <v>80.3</v>
      </c>
      <c r="F123" s="776">
        <v>30.180229546985888</v>
      </c>
      <c r="G123" s="368">
        <f t="shared" si="2"/>
        <v>2.0090147942728702</v>
      </c>
      <c r="H123" s="775"/>
    </row>
    <row r="124" spans="1:8" x14ac:dyDescent="0.25">
      <c r="A124" s="446">
        <f t="shared" si="3"/>
        <v>103</v>
      </c>
      <c r="B124" s="7" t="s">
        <v>298</v>
      </c>
      <c r="C124" s="443">
        <v>2007</v>
      </c>
      <c r="D124" s="556">
        <v>31.52964410598597</v>
      </c>
      <c r="E124" s="375">
        <v>80.3</v>
      </c>
      <c r="F124" s="776">
        <v>32.328750427301649</v>
      </c>
      <c r="G124" s="368">
        <f t="shared" si="2"/>
        <v>2.0619493666864468</v>
      </c>
      <c r="H124" s="775"/>
    </row>
    <row r="125" spans="1:8" x14ac:dyDescent="0.25">
      <c r="A125" s="446">
        <f t="shared" si="3"/>
        <v>104</v>
      </c>
      <c r="B125" s="7" t="s">
        <v>299</v>
      </c>
      <c r="C125" s="443">
        <v>2007</v>
      </c>
      <c r="D125" s="556">
        <v>31.52964410598597</v>
      </c>
      <c r="E125" s="375">
        <v>80.5</v>
      </c>
      <c r="F125" s="776">
        <v>34.65030654630057</v>
      </c>
      <c r="G125" s="368">
        <f t="shared" si="2"/>
        <v>2.1206957091359948</v>
      </c>
      <c r="H125" s="775"/>
    </row>
    <row r="126" spans="1:8" x14ac:dyDescent="0.25">
      <c r="A126" s="446">
        <f t="shared" si="3"/>
        <v>105</v>
      </c>
      <c r="B126" s="7" t="s">
        <v>300</v>
      </c>
      <c r="C126" s="443">
        <v>2007</v>
      </c>
      <c r="D126" s="556">
        <v>31.52964410598597</v>
      </c>
      <c r="E126" s="375">
        <v>80.5</v>
      </c>
      <c r="F126" s="776">
        <v>35.14057305590282</v>
      </c>
      <c r="G126" s="368">
        <f t="shared" si="2"/>
        <v>2.1327747390827168</v>
      </c>
      <c r="H126" s="775"/>
    </row>
    <row r="127" spans="1:8" x14ac:dyDescent="0.25">
      <c r="A127" s="446">
        <f t="shared" si="3"/>
        <v>106</v>
      </c>
      <c r="B127" s="7" t="s">
        <v>289</v>
      </c>
      <c r="C127" s="443">
        <v>2007</v>
      </c>
      <c r="D127" s="556">
        <v>33.843447769592757</v>
      </c>
      <c r="E127" s="375">
        <v>80.5</v>
      </c>
      <c r="F127" s="776">
        <v>36.337400123461272</v>
      </c>
      <c r="G127" s="368">
        <f t="shared" si="2"/>
        <v>2.1984910769826609</v>
      </c>
      <c r="H127" s="775"/>
    </row>
    <row r="128" spans="1:8" x14ac:dyDescent="0.25">
      <c r="A128" s="446">
        <f t="shared" si="3"/>
        <v>107</v>
      </c>
      <c r="B128" s="7" t="s">
        <v>290</v>
      </c>
      <c r="C128" s="443">
        <v>2007</v>
      </c>
      <c r="D128" s="556">
        <v>33.843447769592757</v>
      </c>
      <c r="E128" s="375">
        <v>81.5</v>
      </c>
      <c r="F128" s="776">
        <v>36.870925442734311</v>
      </c>
      <c r="G128" s="368">
        <f t="shared" ref="G128:G166" si="4">((1-$B$15)*(($B$16*D128/$E$15)+($B$17*E128/$E$17)+($B$18*F128/$E$19)-1))+1</f>
        <v>2.2193788186691448</v>
      </c>
      <c r="H128" s="775"/>
    </row>
    <row r="129" spans="1:8" x14ac:dyDescent="0.25">
      <c r="A129" s="446">
        <f t="shared" si="3"/>
        <v>108</v>
      </c>
      <c r="B129" s="7" t="s">
        <v>291</v>
      </c>
      <c r="C129" s="443">
        <v>2007</v>
      </c>
      <c r="D129" s="556">
        <v>33.843447769592757</v>
      </c>
      <c r="E129" s="375">
        <v>81.5</v>
      </c>
      <c r="F129" s="776">
        <v>38.038913303845575</v>
      </c>
      <c r="G129" s="368">
        <f t="shared" si="4"/>
        <v>2.2481553311892775</v>
      </c>
      <c r="H129" s="775"/>
    </row>
    <row r="130" spans="1:8" x14ac:dyDescent="0.25">
      <c r="A130" s="446">
        <f t="shared" si="3"/>
        <v>109</v>
      </c>
      <c r="B130" s="7" t="s">
        <v>292</v>
      </c>
      <c r="C130" s="443">
        <v>2007</v>
      </c>
      <c r="D130" s="556">
        <v>33.843447769592757</v>
      </c>
      <c r="E130" s="375">
        <v>81.5</v>
      </c>
      <c r="F130" s="776">
        <v>39.956720532583809</v>
      </c>
      <c r="G130" s="368">
        <f t="shared" si="4"/>
        <v>2.2954056542161614</v>
      </c>
      <c r="H130" s="775"/>
    </row>
    <row r="131" spans="1:8" x14ac:dyDescent="0.25">
      <c r="A131" s="446">
        <f t="shared" si="3"/>
        <v>110</v>
      </c>
      <c r="B131" s="7" t="s">
        <v>293</v>
      </c>
      <c r="C131" s="443">
        <v>2007</v>
      </c>
      <c r="D131" s="556">
        <v>33.843447769592757</v>
      </c>
      <c r="E131" s="375">
        <v>81.5</v>
      </c>
      <c r="F131" s="776">
        <v>39.293418784298396</v>
      </c>
      <c r="G131" s="368">
        <f t="shared" si="4"/>
        <v>2.2790634372294196</v>
      </c>
      <c r="H131" s="775"/>
    </row>
    <row r="132" spans="1:8" x14ac:dyDescent="0.25">
      <c r="A132" s="446">
        <f t="shared" si="3"/>
        <v>111</v>
      </c>
      <c r="B132" s="7" t="s">
        <v>294</v>
      </c>
      <c r="C132" s="443">
        <v>2007</v>
      </c>
      <c r="D132" s="556">
        <v>33.843447769592757</v>
      </c>
      <c r="E132" s="375">
        <v>81.5</v>
      </c>
      <c r="F132" s="776">
        <v>43.503942925588355</v>
      </c>
      <c r="G132" s="368">
        <f t="shared" si="4"/>
        <v>2.3828009885365633</v>
      </c>
      <c r="H132" s="775"/>
    </row>
    <row r="133" spans="1:8" x14ac:dyDescent="0.25">
      <c r="A133" s="446">
        <f t="shared" si="3"/>
        <v>112</v>
      </c>
      <c r="B133" s="7" t="s">
        <v>295</v>
      </c>
      <c r="C133" s="443">
        <v>2008</v>
      </c>
      <c r="D133" s="556">
        <v>33.843447769592757</v>
      </c>
      <c r="E133" s="375">
        <v>81.5</v>
      </c>
      <c r="F133" s="776">
        <v>43.850013402954659</v>
      </c>
      <c r="G133" s="368">
        <f t="shared" si="4"/>
        <v>2.3913273626166029</v>
      </c>
      <c r="H133" s="775"/>
    </row>
    <row r="134" spans="1:8" x14ac:dyDescent="0.25">
      <c r="A134" s="446">
        <f t="shared" si="3"/>
        <v>113</v>
      </c>
      <c r="B134" s="7" t="s">
        <v>296</v>
      </c>
      <c r="C134" s="443">
        <v>2008</v>
      </c>
      <c r="D134" s="556">
        <v>33.843447769592757</v>
      </c>
      <c r="E134" s="375">
        <v>83.2</v>
      </c>
      <c r="F134" s="776">
        <v>46.373443967083908</v>
      </c>
      <c r="G134" s="368">
        <f t="shared" si="4"/>
        <v>2.4666617957491423</v>
      </c>
      <c r="H134" s="775"/>
    </row>
    <row r="135" spans="1:8" x14ac:dyDescent="0.25">
      <c r="A135" s="446">
        <f t="shared" si="3"/>
        <v>114</v>
      </c>
      <c r="B135" s="7" t="s">
        <v>297</v>
      </c>
      <c r="C135" s="443">
        <v>2008</v>
      </c>
      <c r="D135" s="556">
        <v>33.843447769592757</v>
      </c>
      <c r="E135" s="375">
        <v>83.2</v>
      </c>
      <c r="F135" s="776">
        <v>53.006461449937952</v>
      </c>
      <c r="G135" s="368">
        <f t="shared" si="4"/>
        <v>2.6300839656165609</v>
      </c>
      <c r="H135" s="775"/>
    </row>
    <row r="136" spans="1:8" x14ac:dyDescent="0.25">
      <c r="A136" s="446">
        <f t="shared" si="3"/>
        <v>115</v>
      </c>
      <c r="B136" s="7" t="s">
        <v>298</v>
      </c>
      <c r="C136" s="443">
        <v>2008</v>
      </c>
      <c r="D136" s="556">
        <v>33.847829973501113</v>
      </c>
      <c r="E136" s="375">
        <v>83.2</v>
      </c>
      <c r="F136" s="776">
        <v>61.268894097058308</v>
      </c>
      <c r="G136" s="368">
        <f t="shared" si="4"/>
        <v>2.8337197628650097</v>
      </c>
      <c r="H136" s="775"/>
    </row>
    <row r="137" spans="1:8" x14ac:dyDescent="0.25">
      <c r="A137" s="446">
        <f t="shared" si="3"/>
        <v>116</v>
      </c>
      <c r="B137" s="7" t="s">
        <v>299</v>
      </c>
      <c r="C137" s="443">
        <v>2008</v>
      </c>
      <c r="D137" s="556">
        <v>33.847829973501113</v>
      </c>
      <c r="E137" s="375">
        <v>86.1</v>
      </c>
      <c r="F137" s="776">
        <v>67.916331183135952</v>
      </c>
      <c r="G137" s="368">
        <f t="shared" si="4"/>
        <v>3.0199516517603917</v>
      </c>
      <c r="H137" s="775"/>
    </row>
    <row r="138" spans="1:8" x14ac:dyDescent="0.25">
      <c r="A138" s="446">
        <f t="shared" si="3"/>
        <v>117</v>
      </c>
      <c r="B138" s="7" t="s">
        <v>300</v>
      </c>
      <c r="C138" s="443">
        <v>2008</v>
      </c>
      <c r="D138" s="556">
        <v>33.847829973501113</v>
      </c>
      <c r="E138" s="375">
        <v>85.6</v>
      </c>
      <c r="F138" s="776">
        <v>74.967517159474255</v>
      </c>
      <c r="G138" s="368">
        <f t="shared" si="4"/>
        <v>3.1898050661513122</v>
      </c>
      <c r="H138" s="775"/>
    </row>
    <row r="139" spans="1:8" x14ac:dyDescent="0.25">
      <c r="A139" s="446">
        <f t="shared" si="3"/>
        <v>118</v>
      </c>
      <c r="B139" s="7" t="s">
        <v>289</v>
      </c>
      <c r="C139" s="443">
        <v>2008</v>
      </c>
      <c r="D139" s="556">
        <v>37.250611308331933</v>
      </c>
      <c r="E139" s="375">
        <v>85.6</v>
      </c>
      <c r="F139" s="776">
        <v>73.813948901586599</v>
      </c>
      <c r="G139" s="368">
        <f t="shared" si="4"/>
        <v>3.2146642111711201</v>
      </c>
      <c r="H139" s="775"/>
    </row>
    <row r="140" spans="1:8" x14ac:dyDescent="0.25">
      <c r="A140" s="446">
        <f t="shared" si="3"/>
        <v>119</v>
      </c>
      <c r="B140" s="7" t="s">
        <v>290</v>
      </c>
      <c r="C140" s="443">
        <v>2008</v>
      </c>
      <c r="D140" s="556">
        <v>37.250611308331933</v>
      </c>
      <c r="E140" s="375">
        <v>87.9</v>
      </c>
      <c r="F140" s="776">
        <v>60.547913935878519</v>
      </c>
      <c r="G140" s="368">
        <f t="shared" si="4"/>
        <v>2.9056285758897245</v>
      </c>
      <c r="H140" s="775"/>
    </row>
    <row r="141" spans="1:8" x14ac:dyDescent="0.25">
      <c r="A141" s="446">
        <f t="shared" si="3"/>
        <v>120</v>
      </c>
      <c r="B141" s="7" t="s">
        <v>291</v>
      </c>
      <c r="C141" s="443">
        <v>2008</v>
      </c>
      <c r="D141" s="556">
        <v>37.250611308331933</v>
      </c>
      <c r="E141" s="375">
        <v>87.9</v>
      </c>
      <c r="F141" s="776">
        <v>56.856495510638013</v>
      </c>
      <c r="G141" s="368">
        <f t="shared" si="4"/>
        <v>2.8146805857026402</v>
      </c>
      <c r="H141" s="775"/>
    </row>
    <row r="142" spans="1:8" x14ac:dyDescent="0.25">
      <c r="A142" s="446">
        <f t="shared" si="3"/>
        <v>121</v>
      </c>
      <c r="B142" s="7" t="s">
        <v>292</v>
      </c>
      <c r="C142" s="443">
        <v>2008</v>
      </c>
      <c r="D142" s="556">
        <v>37.250611308331933</v>
      </c>
      <c r="E142" s="375">
        <v>87.9</v>
      </c>
      <c r="F142" s="776">
        <v>54.41958256585032</v>
      </c>
      <c r="G142" s="368">
        <f t="shared" si="4"/>
        <v>2.7546407015556968</v>
      </c>
      <c r="H142" s="775"/>
    </row>
    <row r="143" spans="1:8" x14ac:dyDescent="0.25">
      <c r="A143" s="446">
        <f t="shared" si="3"/>
        <v>122</v>
      </c>
      <c r="B143" s="7" t="s">
        <v>293</v>
      </c>
      <c r="C143" s="443">
        <v>2008</v>
      </c>
      <c r="D143" s="556">
        <v>37.250611308331933</v>
      </c>
      <c r="E143" s="375">
        <v>90.1</v>
      </c>
      <c r="F143" s="776">
        <v>48.565223657070462</v>
      </c>
      <c r="G143" s="368">
        <f t="shared" si="4"/>
        <v>2.6274372863238327</v>
      </c>
      <c r="H143" s="775"/>
    </row>
    <row r="144" spans="1:8" x14ac:dyDescent="0.25">
      <c r="A144" s="446">
        <f t="shared" si="3"/>
        <v>123</v>
      </c>
      <c r="B144" s="7" t="s">
        <v>294</v>
      </c>
      <c r="C144" s="443">
        <v>2008</v>
      </c>
      <c r="D144" s="556">
        <v>37.250611308331933</v>
      </c>
      <c r="E144" s="375">
        <v>90.1</v>
      </c>
      <c r="F144" s="776">
        <v>39.552971642323129</v>
      </c>
      <c r="G144" s="368">
        <f t="shared" si="4"/>
        <v>2.4053962946561445</v>
      </c>
      <c r="H144" s="775"/>
    </row>
    <row r="145" spans="1:8" x14ac:dyDescent="0.25">
      <c r="A145" s="446">
        <f t="shared" si="3"/>
        <v>124</v>
      </c>
      <c r="B145" s="7" t="s">
        <v>295</v>
      </c>
      <c r="C145" s="443">
        <v>2009</v>
      </c>
      <c r="D145" s="556">
        <v>37.250611308331933</v>
      </c>
      <c r="E145" s="375">
        <v>90.1</v>
      </c>
      <c r="F145" s="776">
        <v>40.547924264751231</v>
      </c>
      <c r="G145" s="368">
        <f t="shared" si="4"/>
        <v>2.4299096201362573</v>
      </c>
      <c r="H145" s="775"/>
    </row>
    <row r="146" spans="1:8" x14ac:dyDescent="0.25">
      <c r="A146" s="446">
        <f t="shared" si="3"/>
        <v>125</v>
      </c>
      <c r="B146" s="7" t="s">
        <v>296</v>
      </c>
      <c r="C146" s="443">
        <v>2009</v>
      </c>
      <c r="D146" s="556">
        <v>37.250611308331933</v>
      </c>
      <c r="E146" s="375">
        <v>92.9</v>
      </c>
      <c r="F146" s="776">
        <v>39.120383545615248</v>
      </c>
      <c r="G146" s="368">
        <f t="shared" si="4"/>
        <v>2.4164184889994154</v>
      </c>
      <c r="H146" s="775"/>
    </row>
    <row r="147" spans="1:8" x14ac:dyDescent="0.25">
      <c r="A147" s="446">
        <f t="shared" si="3"/>
        <v>126</v>
      </c>
      <c r="B147" s="7" t="s">
        <v>297</v>
      </c>
      <c r="C147" s="443">
        <v>2009</v>
      </c>
      <c r="D147" s="556">
        <v>37.250611308331933</v>
      </c>
      <c r="E147" s="375">
        <v>92.9</v>
      </c>
      <c r="F147" s="776">
        <v>36.553694171815209</v>
      </c>
      <c r="G147" s="368">
        <f t="shared" si="4"/>
        <v>2.3531812145724578</v>
      </c>
      <c r="H147" s="775"/>
    </row>
    <row r="148" spans="1:8" x14ac:dyDescent="0.25">
      <c r="A148" s="446">
        <f t="shared" si="3"/>
        <v>127</v>
      </c>
      <c r="B148" s="7" t="s">
        <v>298</v>
      </c>
      <c r="C148" s="443">
        <v>2009</v>
      </c>
      <c r="D148" s="556">
        <v>37.250611308331933</v>
      </c>
      <c r="E148" s="375">
        <v>92.9</v>
      </c>
      <c r="F148" s="776">
        <v>36.077847265436546</v>
      </c>
      <c r="G148" s="368">
        <f t="shared" si="4"/>
        <v>2.3414574502124035</v>
      </c>
      <c r="H148" s="775"/>
    </row>
    <row r="149" spans="1:8" x14ac:dyDescent="0.25">
      <c r="A149" s="446">
        <f t="shared" si="3"/>
        <v>128</v>
      </c>
      <c r="B149" s="7" t="s">
        <v>299</v>
      </c>
      <c r="C149" s="443">
        <v>2009</v>
      </c>
      <c r="D149" s="556">
        <v>37.250611308331933</v>
      </c>
      <c r="E149" s="375">
        <v>93.9</v>
      </c>
      <c r="F149" s="776">
        <v>36.207623694448912</v>
      </c>
      <c r="G149" s="368">
        <f t="shared" si="4"/>
        <v>2.3523977554721758</v>
      </c>
      <c r="H149" s="775"/>
    </row>
    <row r="150" spans="1:8" x14ac:dyDescent="0.25">
      <c r="A150" s="446">
        <f t="shared" si="3"/>
        <v>129</v>
      </c>
      <c r="B150" s="7" t="s">
        <v>300</v>
      </c>
      <c r="C150" s="443">
        <v>2009</v>
      </c>
      <c r="D150" s="556">
        <v>37.250611308331933</v>
      </c>
      <c r="E150" s="375">
        <v>93.9</v>
      </c>
      <c r="F150" s="776">
        <v>37.029541078193873</v>
      </c>
      <c r="G150" s="368">
        <f t="shared" si="4"/>
        <v>2.3726478939122684</v>
      </c>
      <c r="H150" s="775"/>
    </row>
    <row r="151" spans="1:8" x14ac:dyDescent="0.25">
      <c r="A151" s="446">
        <f t="shared" si="3"/>
        <v>130</v>
      </c>
      <c r="B151" s="7" t="s">
        <v>289</v>
      </c>
      <c r="C151" s="443">
        <v>2009</v>
      </c>
      <c r="D151" s="556">
        <v>40.230822980572228</v>
      </c>
      <c r="E151" s="375">
        <v>93.9</v>
      </c>
      <c r="F151" s="776">
        <v>38.384983781211865</v>
      </c>
      <c r="G151" s="368">
        <f t="shared" si="4"/>
        <v>2.4527066997165354</v>
      </c>
      <c r="H151" s="775"/>
    </row>
    <row r="152" spans="1:8" x14ac:dyDescent="0.25">
      <c r="A152" s="446">
        <f t="shared" si="3"/>
        <v>131</v>
      </c>
      <c r="B152" s="7" t="s">
        <v>290</v>
      </c>
      <c r="C152" s="443">
        <v>2009</v>
      </c>
      <c r="D152" s="556">
        <v>40.230822980572228</v>
      </c>
      <c r="E152" s="375">
        <v>93.7</v>
      </c>
      <c r="F152" s="776">
        <v>37.793780049044443</v>
      </c>
      <c r="G152" s="368">
        <f t="shared" si="4"/>
        <v>2.4365922276671839</v>
      </c>
      <c r="H152" s="775"/>
    </row>
    <row r="153" spans="1:8" x14ac:dyDescent="0.25">
      <c r="A153" s="446">
        <f t="shared" si="3"/>
        <v>132</v>
      </c>
      <c r="B153" s="7" t="s">
        <v>291</v>
      </c>
      <c r="C153" s="443">
        <v>2009</v>
      </c>
      <c r="D153" s="556">
        <v>40.230822980572228</v>
      </c>
      <c r="E153" s="375">
        <v>93.7</v>
      </c>
      <c r="F153" s="776">
        <v>39.307838387521997</v>
      </c>
      <c r="G153" s="368">
        <f t="shared" si="4"/>
        <v>2.4738951142673553</v>
      </c>
      <c r="H153" s="775"/>
    </row>
    <row r="154" spans="1:8" x14ac:dyDescent="0.25">
      <c r="A154" s="446">
        <f t="shared" si="3"/>
        <v>133</v>
      </c>
      <c r="B154" s="7" t="s">
        <v>292</v>
      </c>
      <c r="C154" s="443">
        <v>2009</v>
      </c>
      <c r="D154" s="556">
        <v>40.230822980572228</v>
      </c>
      <c r="E154" s="375">
        <v>93.7</v>
      </c>
      <c r="F154" s="776">
        <v>37.159317507206232</v>
      </c>
      <c r="G154" s="368">
        <f t="shared" si="4"/>
        <v>2.4209605418537787</v>
      </c>
      <c r="H154" s="775"/>
    </row>
    <row r="155" spans="1:8" x14ac:dyDescent="0.25">
      <c r="A155" s="446">
        <f t="shared" si="3"/>
        <v>134</v>
      </c>
      <c r="B155" s="7" t="s">
        <v>293</v>
      </c>
      <c r="C155" s="443">
        <v>2009</v>
      </c>
      <c r="D155" s="556">
        <v>40.230822980572228</v>
      </c>
      <c r="E155" s="375">
        <v>93.7</v>
      </c>
      <c r="F155" s="776">
        <v>37.808199652268037</v>
      </c>
      <c r="G155" s="368">
        <f t="shared" si="4"/>
        <v>2.436947493253852</v>
      </c>
      <c r="H155" s="775"/>
    </row>
    <row r="156" spans="1:8" x14ac:dyDescent="0.25">
      <c r="A156" s="446">
        <f t="shared" si="3"/>
        <v>135</v>
      </c>
      <c r="B156" s="7" t="s">
        <v>294</v>
      </c>
      <c r="C156" s="443">
        <v>2009</v>
      </c>
      <c r="D156" s="556">
        <v>40.230822980572228</v>
      </c>
      <c r="E156" s="375">
        <v>93.7</v>
      </c>
      <c r="F156" s="776">
        <v>39.711587277782677</v>
      </c>
      <c r="G156" s="368">
        <f t="shared" si="4"/>
        <v>2.4838425506940682</v>
      </c>
      <c r="H156" s="775"/>
    </row>
    <row r="157" spans="1:8" x14ac:dyDescent="0.25">
      <c r="A157" s="446">
        <f t="shared" si="3"/>
        <v>136</v>
      </c>
      <c r="B157" s="7" t="s">
        <v>295</v>
      </c>
      <c r="C157" s="443">
        <v>2010</v>
      </c>
      <c r="D157" s="556">
        <v>40.316588971349859</v>
      </c>
      <c r="E157" s="375">
        <v>93.7</v>
      </c>
      <c r="F157" s="776">
        <v>38.803152274696146</v>
      </c>
      <c r="G157" s="368">
        <f t="shared" si="4"/>
        <v>2.4628037335895616</v>
      </c>
      <c r="H157" s="775"/>
    </row>
    <row r="158" spans="1:8" x14ac:dyDescent="0.25">
      <c r="A158" s="446">
        <f t="shared" si="3"/>
        <v>137</v>
      </c>
      <c r="B158" s="7" t="s">
        <v>296</v>
      </c>
      <c r="C158" s="443">
        <v>2010</v>
      </c>
      <c r="D158" s="556">
        <v>40.316588971349859</v>
      </c>
      <c r="E158" s="375">
        <v>94.4</v>
      </c>
      <c r="F158" s="776">
        <v>40.432567438962458</v>
      </c>
      <c r="G158" s="368">
        <f t="shared" si="4"/>
        <v>2.5083687853689103</v>
      </c>
      <c r="H158" s="775"/>
    </row>
    <row r="159" spans="1:8" x14ac:dyDescent="0.25">
      <c r="A159" s="446">
        <f t="shared" si="3"/>
        <v>138</v>
      </c>
      <c r="B159" s="7" t="s">
        <v>297</v>
      </c>
      <c r="C159" s="443">
        <v>2010</v>
      </c>
      <c r="D159" s="556">
        <v>40.316588971349859</v>
      </c>
      <c r="E159" s="375">
        <v>94.4</v>
      </c>
      <c r="F159" s="776">
        <v>42.754123557961378</v>
      </c>
      <c r="G159" s="368">
        <f t="shared" si="4"/>
        <v>2.5655665448225062</v>
      </c>
      <c r="H159" s="775"/>
    </row>
    <row r="160" spans="1:8" x14ac:dyDescent="0.25">
      <c r="A160" s="446">
        <f t="shared" si="3"/>
        <v>139</v>
      </c>
      <c r="B160" s="7" t="s">
        <v>298</v>
      </c>
      <c r="C160" s="443">
        <v>2010</v>
      </c>
      <c r="D160" s="556">
        <v>40.316588971349859</v>
      </c>
      <c r="E160" s="375">
        <v>94.4</v>
      </c>
      <c r="F160" s="776">
        <v>42.754123557961378</v>
      </c>
      <c r="G160" s="368">
        <f t="shared" si="4"/>
        <v>2.5655665448225062</v>
      </c>
      <c r="H160" s="775"/>
    </row>
    <row r="161" spans="1:8" x14ac:dyDescent="0.25">
      <c r="A161" s="446">
        <f t="shared" si="3"/>
        <v>140</v>
      </c>
      <c r="B161" s="7" t="s">
        <v>299</v>
      </c>
      <c r="C161" s="443">
        <v>2010</v>
      </c>
      <c r="D161" s="556">
        <v>40.316588971349859</v>
      </c>
      <c r="E161" s="375">
        <v>95.7</v>
      </c>
      <c r="F161" s="776">
        <v>43.893272212625433</v>
      </c>
      <c r="G161" s="368">
        <f t="shared" si="4"/>
        <v>2.603698315642986</v>
      </c>
      <c r="H161" s="775"/>
    </row>
    <row r="162" spans="1:8" x14ac:dyDescent="0.25">
      <c r="A162" s="446">
        <f t="shared" si="3"/>
        <v>141</v>
      </c>
      <c r="B162" s="7" t="s">
        <v>300</v>
      </c>
      <c r="C162" s="443">
        <v>2010</v>
      </c>
      <c r="D162" s="556">
        <v>40.316588971349859</v>
      </c>
      <c r="E162" s="375">
        <v>95.2</v>
      </c>
      <c r="F162" s="776">
        <v>43.330907686905206</v>
      </c>
      <c r="G162" s="368">
        <f t="shared" si="4"/>
        <v>2.5859715002730441</v>
      </c>
      <c r="H162" s="775"/>
    </row>
    <row r="163" spans="1:8" x14ac:dyDescent="0.25">
      <c r="A163" s="446">
        <f t="shared" si="3"/>
        <v>142</v>
      </c>
      <c r="B163" s="7" t="s">
        <v>289</v>
      </c>
      <c r="C163" s="443">
        <v>2010</v>
      </c>
      <c r="D163" s="556">
        <v>43.380688546978483</v>
      </c>
      <c r="E163" s="375">
        <v>95.2</v>
      </c>
      <c r="F163" s="776">
        <v>42.682025541843394</v>
      </c>
      <c r="G163" s="368">
        <f t="shared" si="4"/>
        <v>2.6179618974913659</v>
      </c>
      <c r="H163" s="775"/>
    </row>
    <row r="164" spans="1:8" x14ac:dyDescent="0.25">
      <c r="A164" s="446">
        <f t="shared" si="3"/>
        <v>143</v>
      </c>
      <c r="B164" s="7" t="s">
        <v>290</v>
      </c>
      <c r="C164" s="443">
        <v>2010</v>
      </c>
      <c r="D164" s="556">
        <v>43.380688546978483</v>
      </c>
      <c r="E164" s="375">
        <v>95.3</v>
      </c>
      <c r="F164" s="776">
        <v>42.263857048359121</v>
      </c>
      <c r="G164" s="368">
        <f t="shared" si="4"/>
        <v>2.6084334869759607</v>
      </c>
      <c r="H164" s="775"/>
    </row>
    <row r="165" spans="1:8" x14ac:dyDescent="0.25">
      <c r="A165" s="446">
        <f t="shared" si="3"/>
        <v>144</v>
      </c>
      <c r="B165" s="7" t="s">
        <v>291</v>
      </c>
      <c r="C165" s="443">
        <v>2010</v>
      </c>
      <c r="D165" s="556">
        <v>43.380688546978483</v>
      </c>
      <c r="E165" s="375">
        <v>95.3</v>
      </c>
      <c r="F165" s="776">
        <v>41.903366967769223</v>
      </c>
      <c r="G165" s="368">
        <f t="shared" si="4"/>
        <v>2.5995518473092529</v>
      </c>
      <c r="H165" s="775"/>
    </row>
    <row r="166" spans="1:8" x14ac:dyDescent="0.25">
      <c r="A166" s="446">
        <f t="shared" si="3"/>
        <v>145</v>
      </c>
      <c r="B166" s="7" t="s">
        <v>292</v>
      </c>
      <c r="C166" s="443">
        <v>2010</v>
      </c>
      <c r="D166" s="556">
        <v>43.380688546978483</v>
      </c>
      <c r="E166" s="375">
        <v>95.3</v>
      </c>
      <c r="F166" s="776">
        <v>42.004304190334402</v>
      </c>
      <c r="G166" s="368">
        <f t="shared" si="4"/>
        <v>2.6020387064159318</v>
      </c>
      <c r="H166" s="775"/>
    </row>
    <row r="167" spans="1:8" x14ac:dyDescent="0.25">
      <c r="A167" s="446">
        <f t="shared" si="3"/>
        <v>146</v>
      </c>
      <c r="B167" s="7" t="s">
        <v>293</v>
      </c>
      <c r="C167" s="443">
        <v>2010</v>
      </c>
      <c r="D167" s="556">
        <v>43.380688546978483</v>
      </c>
      <c r="E167" s="375">
        <v>95.3</v>
      </c>
      <c r="F167" s="776">
        <v>43.114613638551276</v>
      </c>
      <c r="G167" s="368">
        <f t="shared" ref="G167:G230" si="5">((1-$B$15)*(($B$16*D167/$E$15)+($B$17*E167/$E$17)+($B$18*F167/$E$19)-1))+1</f>
        <v>2.6293941565893908</v>
      </c>
      <c r="H167" s="775"/>
    </row>
    <row r="168" spans="1:8" x14ac:dyDescent="0.25">
      <c r="A168" s="446">
        <f t="shared" ref="A168:A231" si="6">A167+1</f>
        <v>147</v>
      </c>
      <c r="B168" s="7" t="s">
        <v>294</v>
      </c>
      <c r="C168" s="443">
        <v>2010</v>
      </c>
      <c r="D168" s="556">
        <v>43.380688546978483</v>
      </c>
      <c r="E168" s="375">
        <v>95.3</v>
      </c>
      <c r="F168" s="776">
        <v>44.614252373805229</v>
      </c>
      <c r="G168" s="368">
        <f t="shared" si="5"/>
        <v>2.6663417776028941</v>
      </c>
      <c r="H168" s="775"/>
    </row>
    <row r="169" spans="1:8" x14ac:dyDescent="0.25">
      <c r="A169" s="446">
        <f t="shared" si="6"/>
        <v>148</v>
      </c>
      <c r="B169" s="7" t="s">
        <v>295</v>
      </c>
      <c r="C169" s="443">
        <v>2011</v>
      </c>
      <c r="D169" s="556">
        <v>43.380688546978483</v>
      </c>
      <c r="E169" s="375">
        <v>94.9</v>
      </c>
      <c r="F169" s="776">
        <v>46.28692634774233</v>
      </c>
      <c r="G169" s="368">
        <f t="shared" si="5"/>
        <v>2.7044554196645141</v>
      </c>
      <c r="H169" s="775"/>
    </row>
    <row r="170" spans="1:8" x14ac:dyDescent="0.25">
      <c r="A170" s="446">
        <f t="shared" si="6"/>
        <v>149</v>
      </c>
      <c r="B170" s="7" t="s">
        <v>296</v>
      </c>
      <c r="C170" s="443">
        <v>2011</v>
      </c>
      <c r="D170" s="556">
        <v>43.380688546978483</v>
      </c>
      <c r="E170" s="375">
        <v>95.8</v>
      </c>
      <c r="F170" s="776">
        <v>50.598387711597461</v>
      </c>
      <c r="G170" s="368">
        <f t="shared" si="5"/>
        <v>2.8176484535601176</v>
      </c>
      <c r="H170" s="775"/>
    </row>
    <row r="171" spans="1:8" x14ac:dyDescent="0.25">
      <c r="A171" s="446">
        <f t="shared" si="6"/>
        <v>150</v>
      </c>
      <c r="B171" s="7" t="s">
        <v>297</v>
      </c>
      <c r="C171" s="443">
        <v>2011</v>
      </c>
      <c r="D171" s="556">
        <v>43.380688546978483</v>
      </c>
      <c r="E171" s="375">
        <v>96.7</v>
      </c>
      <c r="F171" s="776">
        <v>53.958155262695264</v>
      </c>
      <c r="G171" s="368">
        <f t="shared" si="5"/>
        <v>2.907393958735613</v>
      </c>
      <c r="H171" s="775"/>
    </row>
    <row r="172" spans="1:8" x14ac:dyDescent="0.25">
      <c r="A172" s="446">
        <f t="shared" si="6"/>
        <v>151</v>
      </c>
      <c r="B172" s="7" t="s">
        <v>298</v>
      </c>
      <c r="C172" s="443">
        <v>2011</v>
      </c>
      <c r="D172" s="556">
        <v>43.380688546978483</v>
      </c>
      <c r="E172" s="375">
        <v>96.9</v>
      </c>
      <c r="F172" s="776">
        <v>57.21698559122791</v>
      </c>
      <c r="G172" s="368">
        <f t="shared" si="5"/>
        <v>2.9892325643186006</v>
      </c>
      <c r="H172" s="775"/>
    </row>
    <row r="173" spans="1:8" x14ac:dyDescent="0.25">
      <c r="A173" s="446">
        <f t="shared" si="6"/>
        <v>152</v>
      </c>
      <c r="B173" s="7" t="s">
        <v>299</v>
      </c>
      <c r="C173" s="443">
        <v>2011</v>
      </c>
      <c r="D173" s="556">
        <v>43.380688546978483</v>
      </c>
      <c r="E173" s="375">
        <v>96.9</v>
      </c>
      <c r="F173" s="776">
        <v>56.568103446166099</v>
      </c>
      <c r="G173" s="368">
        <f t="shared" si="5"/>
        <v>2.973245612918527</v>
      </c>
      <c r="H173" s="775"/>
    </row>
    <row r="174" spans="1:8" x14ac:dyDescent="0.25">
      <c r="A174" s="446">
        <f t="shared" si="6"/>
        <v>153</v>
      </c>
      <c r="B174" s="7" t="s">
        <v>300</v>
      </c>
      <c r="C174" s="443">
        <v>2011</v>
      </c>
      <c r="D174" s="556">
        <v>43.380688546978483</v>
      </c>
      <c r="E174" s="375">
        <v>97.2</v>
      </c>
      <c r="F174" s="776">
        <v>54.924268678676178</v>
      </c>
      <c r="G174" s="368">
        <f t="shared" si="5"/>
        <v>2.9350682105322674</v>
      </c>
      <c r="H174" s="775"/>
    </row>
    <row r="175" spans="1:8" x14ac:dyDescent="0.25">
      <c r="A175" s="446">
        <f t="shared" si="6"/>
        <v>154</v>
      </c>
      <c r="B175" s="7" t="s">
        <v>289</v>
      </c>
      <c r="C175" s="443">
        <v>2011</v>
      </c>
      <c r="D175" s="556">
        <v>47.284919214750047</v>
      </c>
      <c r="E175" s="375">
        <v>96.1</v>
      </c>
      <c r="F175" s="776">
        <v>54.549358994862693</v>
      </c>
      <c r="G175" s="368">
        <f t="shared" si="5"/>
        <v>2.9784461316254771</v>
      </c>
      <c r="H175" s="775"/>
    </row>
    <row r="176" spans="1:8" x14ac:dyDescent="0.25">
      <c r="A176" s="446">
        <f t="shared" si="6"/>
        <v>155</v>
      </c>
      <c r="B176" s="7" t="s">
        <v>290</v>
      </c>
      <c r="C176" s="443">
        <v>2011</v>
      </c>
      <c r="D176" s="556">
        <v>47.284919214750047</v>
      </c>
      <c r="E176" s="375">
        <v>98.1</v>
      </c>
      <c r="F176" s="776">
        <v>54.462841375521116</v>
      </c>
      <c r="G176" s="368">
        <f t="shared" si="5"/>
        <v>2.9918003680649816</v>
      </c>
      <c r="H176" s="775"/>
    </row>
    <row r="177" spans="1:8" x14ac:dyDescent="0.25">
      <c r="A177" s="446">
        <f t="shared" si="6"/>
        <v>156</v>
      </c>
      <c r="B177" s="7" t="s">
        <v>291</v>
      </c>
      <c r="C177" s="443">
        <v>2011</v>
      </c>
      <c r="D177" s="556">
        <v>47.284919214750047</v>
      </c>
      <c r="E177" s="375">
        <v>98</v>
      </c>
      <c r="F177" s="776">
        <v>54.462841375521116</v>
      </c>
      <c r="G177" s="368">
        <f t="shared" si="5"/>
        <v>2.9910260765670058</v>
      </c>
      <c r="H177" s="775"/>
    </row>
    <row r="178" spans="1:8" x14ac:dyDescent="0.25">
      <c r="A178" s="446">
        <f t="shared" si="6"/>
        <v>157</v>
      </c>
      <c r="B178" s="7" t="s">
        <v>292</v>
      </c>
      <c r="C178" s="443">
        <v>2011</v>
      </c>
      <c r="D178" s="556">
        <v>47.284919214750047</v>
      </c>
      <c r="E178" s="375">
        <v>98.2</v>
      </c>
      <c r="F178" s="776">
        <v>56.582523049389692</v>
      </c>
      <c r="G178" s="368">
        <f t="shared" si="5"/>
        <v>3.0447987008031974</v>
      </c>
      <c r="H178" s="775"/>
    </row>
    <row r="179" spans="1:8" x14ac:dyDescent="0.25">
      <c r="A179" s="446">
        <f t="shared" si="6"/>
        <v>158</v>
      </c>
      <c r="B179" s="7" t="s">
        <v>293</v>
      </c>
      <c r="C179" s="443">
        <v>2011</v>
      </c>
      <c r="D179" s="556">
        <v>47.284919214750047</v>
      </c>
      <c r="E179" s="375">
        <v>98.2</v>
      </c>
      <c r="F179" s="776">
        <v>59.567380916674011</v>
      </c>
      <c r="G179" s="368">
        <f t="shared" si="5"/>
        <v>3.118338677243536</v>
      </c>
      <c r="H179" s="775"/>
    </row>
    <row r="180" spans="1:8" x14ac:dyDescent="0.25">
      <c r="A180" s="446">
        <f t="shared" si="6"/>
        <v>159</v>
      </c>
      <c r="B180" s="7" t="s">
        <v>294</v>
      </c>
      <c r="C180" s="443">
        <v>2011</v>
      </c>
      <c r="D180" s="556">
        <v>47.284919214750047</v>
      </c>
      <c r="E180" s="375">
        <v>98.4</v>
      </c>
      <c r="F180" s="776">
        <v>60.547913935878519</v>
      </c>
      <c r="G180" s="368">
        <f t="shared" si="5"/>
        <v>3.1440453201329315</v>
      </c>
      <c r="H180" s="775"/>
    </row>
    <row r="181" spans="1:8" x14ac:dyDescent="0.25">
      <c r="A181" s="446">
        <f t="shared" si="6"/>
        <v>160</v>
      </c>
      <c r="B181" s="7" t="s">
        <v>295</v>
      </c>
      <c r="C181" s="443">
        <v>2012</v>
      </c>
      <c r="D181" s="556">
        <v>47.284919214750047</v>
      </c>
      <c r="E181" s="375">
        <v>99.4</v>
      </c>
      <c r="F181" s="776">
        <v>59.019435994177378</v>
      </c>
      <c r="G181" s="368">
        <f t="shared" si="5"/>
        <v>3.1141300829258487</v>
      </c>
      <c r="H181" s="775"/>
    </row>
    <row r="182" spans="1:8" x14ac:dyDescent="0.25">
      <c r="A182" s="446">
        <f t="shared" si="6"/>
        <v>161</v>
      </c>
      <c r="B182" s="7" t="s">
        <v>296</v>
      </c>
      <c r="C182" s="443">
        <v>2012</v>
      </c>
      <c r="D182" s="556">
        <v>47.284919214750047</v>
      </c>
      <c r="E182" s="375">
        <v>99.7</v>
      </c>
      <c r="F182" s="776">
        <v>58.976177184506589</v>
      </c>
      <c r="G182" s="368">
        <f t="shared" si="5"/>
        <v>3.1153871606597709</v>
      </c>
      <c r="H182" s="775"/>
    </row>
    <row r="183" spans="1:8" x14ac:dyDescent="0.25">
      <c r="A183" s="446">
        <f t="shared" si="6"/>
        <v>162</v>
      </c>
      <c r="B183" s="7" t="s">
        <v>297</v>
      </c>
      <c r="C183" s="443">
        <v>2012</v>
      </c>
      <c r="D183" s="556">
        <v>47.284919214750047</v>
      </c>
      <c r="E183" s="375">
        <v>100</v>
      </c>
      <c r="F183" s="776">
        <v>59.725996552133559</v>
      </c>
      <c r="G183" s="368">
        <f t="shared" si="5"/>
        <v>3.1361838456604496</v>
      </c>
      <c r="H183" s="775"/>
    </row>
    <row r="184" spans="1:8" x14ac:dyDescent="0.25">
      <c r="A184" s="446">
        <f t="shared" si="6"/>
        <v>163</v>
      </c>
      <c r="B184" s="7" t="s">
        <v>298</v>
      </c>
      <c r="C184" s="443">
        <v>2012</v>
      </c>
      <c r="D184" s="556">
        <v>47.284919214750047</v>
      </c>
      <c r="E184" s="375">
        <v>99.9</v>
      </c>
      <c r="F184" s="776">
        <v>60.879564810021229</v>
      </c>
      <c r="G184" s="368">
        <f t="shared" si="5"/>
        <v>3.1638308010959384</v>
      </c>
      <c r="H184" s="775"/>
    </row>
    <row r="185" spans="1:8" x14ac:dyDescent="0.25">
      <c r="A185" s="446">
        <f t="shared" si="6"/>
        <v>164</v>
      </c>
      <c r="B185" s="7" t="s">
        <v>299</v>
      </c>
      <c r="C185" s="443">
        <v>2012</v>
      </c>
      <c r="D185" s="556">
        <v>47.284919214750047</v>
      </c>
      <c r="E185" s="375">
        <v>100.1</v>
      </c>
      <c r="F185" s="776">
        <v>61.51402735185944</v>
      </c>
      <c r="G185" s="368">
        <f t="shared" si="5"/>
        <v>3.1810110699052951</v>
      </c>
      <c r="H185" s="775"/>
    </row>
    <row r="186" spans="1:8" x14ac:dyDescent="0.25">
      <c r="A186" s="446">
        <f t="shared" si="6"/>
        <v>165</v>
      </c>
      <c r="B186" s="7" t="s">
        <v>300</v>
      </c>
      <c r="C186" s="443">
        <v>2012</v>
      </c>
      <c r="D186" s="556">
        <v>47.284919214750047</v>
      </c>
      <c r="E186" s="375">
        <v>100.1</v>
      </c>
      <c r="F186" s="776">
        <v>59.163632026413332</v>
      </c>
      <c r="G186" s="368">
        <f t="shared" si="5"/>
        <v>3.1231027792783617</v>
      </c>
      <c r="H186" s="775"/>
    </row>
    <row r="187" spans="1:8" x14ac:dyDescent="0.25">
      <c r="A187" s="446">
        <f t="shared" si="6"/>
        <v>166</v>
      </c>
      <c r="B187" s="7" t="s">
        <v>289</v>
      </c>
      <c r="C187" s="443">
        <v>2012</v>
      </c>
      <c r="D187" s="556">
        <v>50.831374234861663</v>
      </c>
      <c r="E187" s="375">
        <v>100.1</v>
      </c>
      <c r="F187" s="776">
        <v>54.592617804533482</v>
      </c>
      <c r="G187" s="368">
        <f t="shared" si="5"/>
        <v>3.0660136076983631</v>
      </c>
      <c r="H187" s="775"/>
    </row>
    <row r="188" spans="1:8" x14ac:dyDescent="0.25">
      <c r="A188" s="446">
        <f t="shared" si="6"/>
        <v>167</v>
      </c>
      <c r="B188" s="7" t="s">
        <v>290</v>
      </c>
      <c r="C188" s="443">
        <v>2012</v>
      </c>
      <c r="D188" s="556">
        <v>50.831374234861663</v>
      </c>
      <c r="E188" s="375">
        <v>100.2</v>
      </c>
      <c r="F188" s="776">
        <v>55.948060507551475</v>
      </c>
      <c r="G188" s="368">
        <f t="shared" si="5"/>
        <v>3.100182864343159</v>
      </c>
      <c r="H188" s="775"/>
    </row>
    <row r="189" spans="1:8" x14ac:dyDescent="0.25">
      <c r="A189" s="446">
        <f t="shared" si="6"/>
        <v>168</v>
      </c>
      <c r="B189" s="7" t="s">
        <v>291</v>
      </c>
      <c r="C189" s="443">
        <v>2012</v>
      </c>
      <c r="D189" s="556">
        <v>50.831374234861663</v>
      </c>
      <c r="E189" s="375">
        <v>100.2</v>
      </c>
      <c r="F189" s="776">
        <v>59.509702503779629</v>
      </c>
      <c r="G189" s="368">
        <f t="shared" si="5"/>
        <v>3.1879334642502299</v>
      </c>
      <c r="H189" s="775"/>
    </row>
    <row r="190" spans="1:8" x14ac:dyDescent="0.25">
      <c r="A190" s="446">
        <f t="shared" si="6"/>
        <v>169</v>
      </c>
      <c r="B190" s="7" t="s">
        <v>292</v>
      </c>
      <c r="C190" s="443">
        <v>2012</v>
      </c>
      <c r="D190" s="556">
        <v>50.831374234861663</v>
      </c>
      <c r="E190" s="375">
        <v>100.2</v>
      </c>
      <c r="F190" s="776">
        <v>62.436881958169565</v>
      </c>
      <c r="G190" s="368">
        <f t="shared" si="5"/>
        <v>3.2600523783438948</v>
      </c>
      <c r="H190" s="775"/>
    </row>
    <row r="191" spans="1:8" x14ac:dyDescent="0.25">
      <c r="A191" s="446">
        <f t="shared" si="6"/>
        <v>170</v>
      </c>
      <c r="B191" s="7" t="s">
        <v>293</v>
      </c>
      <c r="C191" s="443">
        <v>2012</v>
      </c>
      <c r="D191" s="556">
        <v>50.831374234861663</v>
      </c>
      <c r="E191" s="375">
        <v>100.2</v>
      </c>
      <c r="F191" s="776">
        <v>63.345316961256103</v>
      </c>
      <c r="G191" s="368">
        <f t="shared" si="5"/>
        <v>3.2824341103039978</v>
      </c>
      <c r="H191" s="775"/>
    </row>
    <row r="192" spans="1:8" x14ac:dyDescent="0.25">
      <c r="A192" s="446">
        <f t="shared" si="6"/>
        <v>171</v>
      </c>
      <c r="B192" s="7" t="s">
        <v>294</v>
      </c>
      <c r="C192" s="443">
        <v>2012</v>
      </c>
      <c r="D192" s="556">
        <v>50.831374234861663</v>
      </c>
      <c r="E192" s="375">
        <v>100.3</v>
      </c>
      <c r="F192" s="776">
        <v>62.855050451653838</v>
      </c>
      <c r="G192" s="368">
        <f t="shared" si="5"/>
        <v>3.2711293718552512</v>
      </c>
      <c r="H192" s="775"/>
    </row>
    <row r="193" spans="1:8" x14ac:dyDescent="0.25">
      <c r="A193" s="446">
        <f t="shared" si="6"/>
        <v>172</v>
      </c>
      <c r="B193" s="7" t="s">
        <v>295</v>
      </c>
      <c r="C193" s="443">
        <v>2013</v>
      </c>
      <c r="D193" s="556">
        <v>50.831374234861663</v>
      </c>
      <c r="E193" s="375">
        <v>101.7</v>
      </c>
      <c r="F193" s="776">
        <v>62.3</v>
      </c>
      <c r="G193" s="368">
        <f t="shared" si="5"/>
        <v>3.2682942967716713</v>
      </c>
      <c r="H193" s="775"/>
    </row>
    <row r="194" spans="1:8" x14ac:dyDescent="0.25">
      <c r="A194" s="446">
        <f t="shared" si="6"/>
        <v>173</v>
      </c>
      <c r="B194" s="7" t="s">
        <v>296</v>
      </c>
      <c r="C194" s="443">
        <v>2013</v>
      </c>
      <c r="D194" s="556">
        <v>50.831374234861663</v>
      </c>
      <c r="E194" s="375">
        <v>101.8</v>
      </c>
      <c r="F194" s="776">
        <v>63.6</v>
      </c>
      <c r="G194" s="368">
        <f t="shared" si="5"/>
        <v>3.3010975737768935</v>
      </c>
      <c r="H194" s="775"/>
    </row>
    <row r="195" spans="1:8" x14ac:dyDescent="0.25">
      <c r="A195" s="446">
        <f t="shared" si="6"/>
        <v>174</v>
      </c>
      <c r="B195" s="7" t="s">
        <v>297</v>
      </c>
      <c r="C195" s="443">
        <v>2013</v>
      </c>
      <c r="D195" s="556">
        <v>50.831374234861663</v>
      </c>
      <c r="E195" s="375">
        <v>102.4</v>
      </c>
      <c r="F195" s="776">
        <v>66.3</v>
      </c>
      <c r="G195" s="368">
        <f t="shared" si="5"/>
        <v>3.3722650618951824</v>
      </c>
      <c r="H195" s="775"/>
    </row>
    <row r="196" spans="1:8" x14ac:dyDescent="0.25">
      <c r="A196" s="446">
        <f t="shared" si="6"/>
        <v>175</v>
      </c>
      <c r="B196" s="7" t="s">
        <v>298</v>
      </c>
      <c r="C196" s="443">
        <v>2013</v>
      </c>
      <c r="D196" s="556">
        <v>50.831374234861663</v>
      </c>
      <c r="E196" s="375">
        <v>102.4</v>
      </c>
      <c r="F196" s="776">
        <v>63.3</v>
      </c>
      <c r="G196" s="368">
        <f t="shared" si="5"/>
        <v>3.2983520184169217</v>
      </c>
      <c r="H196" s="775"/>
    </row>
    <row r="197" spans="1:8" x14ac:dyDescent="0.25">
      <c r="A197" s="446">
        <f t="shared" si="6"/>
        <v>176</v>
      </c>
      <c r="B197" s="7" t="s">
        <v>299</v>
      </c>
      <c r="C197" s="443">
        <v>2013</v>
      </c>
      <c r="D197" s="556">
        <v>50.831374234861663</v>
      </c>
      <c r="E197" s="375">
        <v>103.6</v>
      </c>
      <c r="F197" s="776">
        <v>61.4</v>
      </c>
      <c r="G197" s="368">
        <f t="shared" si="5"/>
        <v>3.2608319221897313</v>
      </c>
      <c r="H197" s="775"/>
    </row>
    <row r="198" spans="1:8" x14ac:dyDescent="0.25">
      <c r="A198" s="446">
        <f t="shared" si="6"/>
        <v>177</v>
      </c>
      <c r="B198" s="7" t="s">
        <v>300</v>
      </c>
      <c r="C198" s="443">
        <v>2013</v>
      </c>
      <c r="D198" s="556">
        <v>50.831374234861663</v>
      </c>
      <c r="E198" s="375">
        <v>103.9</v>
      </c>
      <c r="F198" s="776">
        <v>62.4</v>
      </c>
      <c r="G198" s="368">
        <f t="shared" si="5"/>
        <v>3.2877924778430789</v>
      </c>
      <c r="H198" s="775"/>
    </row>
    <row r="199" spans="1:8" x14ac:dyDescent="0.25">
      <c r="A199" s="446">
        <f t="shared" si="6"/>
        <v>178</v>
      </c>
      <c r="B199" s="7" t="s">
        <v>289</v>
      </c>
      <c r="C199" s="443">
        <v>2013</v>
      </c>
      <c r="D199" s="556">
        <v>54.643727302476293</v>
      </c>
      <c r="E199" s="375">
        <v>106.2</v>
      </c>
      <c r="F199" s="776">
        <v>64.400000000000006</v>
      </c>
      <c r="G199" s="368">
        <f t="shared" si="5"/>
        <v>3.4145699676477483</v>
      </c>
      <c r="H199" s="775"/>
    </row>
    <row r="200" spans="1:8" x14ac:dyDescent="0.25">
      <c r="A200" s="446">
        <f t="shared" si="6"/>
        <v>179</v>
      </c>
      <c r="B200" s="7" t="s">
        <v>290</v>
      </c>
      <c r="C200" s="443">
        <v>2013</v>
      </c>
      <c r="D200" s="556">
        <v>54.643727302476293</v>
      </c>
      <c r="E200" s="375">
        <v>106.3</v>
      </c>
      <c r="F200" s="776">
        <v>66.599999999999994</v>
      </c>
      <c r="G200" s="368">
        <f t="shared" si="5"/>
        <v>3.4695471576964483</v>
      </c>
      <c r="H200" s="775"/>
    </row>
    <row r="201" spans="1:8" x14ac:dyDescent="0.25">
      <c r="A201" s="446">
        <f t="shared" si="6"/>
        <v>180</v>
      </c>
      <c r="B201" s="7" t="s">
        <v>291</v>
      </c>
      <c r="C201" s="443">
        <v>2013</v>
      </c>
      <c r="D201" s="556">
        <v>54.643727302476293</v>
      </c>
      <c r="E201" s="375">
        <v>107</v>
      </c>
      <c r="F201" s="776">
        <v>67.599999999999994</v>
      </c>
      <c r="G201" s="368">
        <f t="shared" si="5"/>
        <v>3.4996048793416983</v>
      </c>
      <c r="H201" s="775"/>
    </row>
    <row r="202" spans="1:8" x14ac:dyDescent="0.25">
      <c r="A202" s="446">
        <f t="shared" si="6"/>
        <v>181</v>
      </c>
      <c r="B202" s="7" t="s">
        <v>292</v>
      </c>
      <c r="C202" s="443">
        <v>2013</v>
      </c>
      <c r="D202" s="556">
        <v>54.643727302476293</v>
      </c>
      <c r="E202" s="375">
        <v>107.8</v>
      </c>
      <c r="F202" s="776">
        <v>67.099999999999994</v>
      </c>
      <c r="G202" s="368">
        <f t="shared" si="5"/>
        <v>3.4934803707457935</v>
      </c>
      <c r="H202" s="775"/>
    </row>
    <row r="203" spans="1:8" x14ac:dyDescent="0.25">
      <c r="A203" s="446">
        <f t="shared" si="6"/>
        <v>182</v>
      </c>
      <c r="B203" s="7" t="s">
        <v>293</v>
      </c>
      <c r="C203" s="443">
        <v>2013</v>
      </c>
      <c r="D203" s="556">
        <v>54.643727302476293</v>
      </c>
      <c r="E203" s="375">
        <v>107.8</v>
      </c>
      <c r="F203" s="776">
        <v>66.8</v>
      </c>
      <c r="G203" s="368">
        <f t="shared" si="5"/>
        <v>3.4860890663979678</v>
      </c>
      <c r="H203" s="775"/>
    </row>
    <row r="204" spans="1:8" x14ac:dyDescent="0.25">
      <c r="A204" s="446">
        <f t="shared" si="6"/>
        <v>183</v>
      </c>
      <c r="B204" s="7" t="s">
        <v>294</v>
      </c>
      <c r="C204" s="443">
        <v>2013</v>
      </c>
      <c r="D204" s="556">
        <v>54.643727302476293</v>
      </c>
      <c r="E204" s="375">
        <v>107.8</v>
      </c>
      <c r="F204" s="776">
        <v>68.3</v>
      </c>
      <c r="G204" s="368">
        <f t="shared" si="5"/>
        <v>3.5230455881370979</v>
      </c>
      <c r="H204" s="775"/>
    </row>
    <row r="205" spans="1:8" x14ac:dyDescent="0.25">
      <c r="A205" s="446">
        <f t="shared" si="6"/>
        <v>184</v>
      </c>
      <c r="B205" s="7" t="s">
        <v>295</v>
      </c>
      <c r="C205" s="443">
        <v>2014</v>
      </c>
      <c r="D205" s="556">
        <v>54.643727302476293</v>
      </c>
      <c r="E205" s="375">
        <v>109.2</v>
      </c>
      <c r="F205" s="776">
        <v>70.3</v>
      </c>
      <c r="G205" s="368">
        <f t="shared" si="5"/>
        <v>3.5831610314275992</v>
      </c>
      <c r="H205" s="775"/>
    </row>
    <row r="206" spans="1:8" x14ac:dyDescent="0.25">
      <c r="A206" s="446">
        <f t="shared" si="6"/>
        <v>185</v>
      </c>
      <c r="B206" s="7" t="s">
        <v>296</v>
      </c>
      <c r="C206" s="443">
        <v>2014</v>
      </c>
      <c r="D206" s="556">
        <v>54.643727302476293</v>
      </c>
      <c r="E206" s="375">
        <v>109.4</v>
      </c>
      <c r="F206" s="776">
        <v>72.099999999999994</v>
      </c>
      <c r="G206" s="368">
        <f t="shared" si="5"/>
        <v>3.6290574405105063</v>
      </c>
      <c r="H206" s="775"/>
    </row>
    <row r="207" spans="1:8" x14ac:dyDescent="0.25">
      <c r="A207" s="446">
        <f t="shared" si="6"/>
        <v>186</v>
      </c>
      <c r="B207" s="7" t="s">
        <v>297</v>
      </c>
      <c r="C207" s="443">
        <v>2014</v>
      </c>
      <c r="D207" s="556">
        <v>54.643727302476293</v>
      </c>
      <c r="E207" s="375">
        <v>109.1</v>
      </c>
      <c r="F207" s="776">
        <v>72</v>
      </c>
      <c r="G207" s="368">
        <f t="shared" si="5"/>
        <v>3.6242707979006381</v>
      </c>
      <c r="H207" s="775"/>
    </row>
    <row r="208" spans="1:8" x14ac:dyDescent="0.25">
      <c r="A208" s="446">
        <f t="shared" si="6"/>
        <v>187</v>
      </c>
      <c r="B208" s="7" t="s">
        <v>298</v>
      </c>
      <c r="C208" s="443">
        <v>2014</v>
      </c>
      <c r="D208" s="556">
        <v>54.643727302476293</v>
      </c>
      <c r="E208" s="375">
        <v>110.4</v>
      </c>
      <c r="F208" s="776">
        <v>70.7</v>
      </c>
      <c r="G208" s="368">
        <f t="shared" si="5"/>
        <v>3.6023076018670754</v>
      </c>
      <c r="H208" s="775"/>
    </row>
    <row r="209" spans="1:8" x14ac:dyDescent="0.25">
      <c r="A209" s="446">
        <f t="shared" si="6"/>
        <v>188</v>
      </c>
      <c r="B209" s="7" t="s">
        <v>299</v>
      </c>
      <c r="C209" s="443">
        <v>2014</v>
      </c>
      <c r="D209" s="556">
        <v>54.643727302476293</v>
      </c>
      <c r="E209" s="375">
        <v>111.5</v>
      </c>
      <c r="F209" s="776">
        <v>69.8</v>
      </c>
      <c r="G209" s="368">
        <f t="shared" si="5"/>
        <v>3.5886508953013303</v>
      </c>
      <c r="H209" s="775"/>
    </row>
    <row r="210" spans="1:8" x14ac:dyDescent="0.25">
      <c r="A210" s="446">
        <f t="shared" si="6"/>
        <v>189</v>
      </c>
      <c r="B210" s="7" t="s">
        <v>300</v>
      </c>
      <c r="C210" s="443">
        <v>2014</v>
      </c>
      <c r="D210" s="556">
        <v>54.643727302476293</v>
      </c>
      <c r="E210" s="375">
        <v>111.6</v>
      </c>
      <c r="F210" s="776">
        <v>69.400000000000006</v>
      </c>
      <c r="G210" s="368">
        <f t="shared" si="5"/>
        <v>3.5795701143355378</v>
      </c>
      <c r="H210" s="775"/>
    </row>
    <row r="211" spans="1:8" x14ac:dyDescent="0.25">
      <c r="A211" s="446">
        <f t="shared" si="6"/>
        <v>190</v>
      </c>
      <c r="B211" s="7" t="s">
        <v>289</v>
      </c>
      <c r="C211" s="443">
        <v>2014</v>
      </c>
      <c r="D211" s="556">
        <v>59.574370603257869</v>
      </c>
      <c r="E211" s="375">
        <v>111.7</v>
      </c>
      <c r="F211" s="776">
        <v>69.099999999999994</v>
      </c>
      <c r="G211" s="368">
        <f t="shared" si="5"/>
        <v>3.6501565952742405</v>
      </c>
      <c r="H211" s="775"/>
    </row>
    <row r="212" spans="1:8" x14ac:dyDescent="0.25">
      <c r="A212" s="446">
        <f t="shared" si="6"/>
        <v>191</v>
      </c>
      <c r="B212" s="7" t="s">
        <v>290</v>
      </c>
      <c r="C212" s="443">
        <v>2014</v>
      </c>
      <c r="D212" s="556">
        <v>59.574370603257869</v>
      </c>
      <c r="E212" s="375">
        <v>111.7</v>
      </c>
      <c r="F212" s="776">
        <v>68.3</v>
      </c>
      <c r="G212" s="368">
        <f t="shared" si="5"/>
        <v>3.630446450346704</v>
      </c>
      <c r="H212" s="775"/>
    </row>
    <row r="213" spans="1:8" x14ac:dyDescent="0.25">
      <c r="A213" s="446">
        <f t="shared" si="6"/>
        <v>192</v>
      </c>
      <c r="B213" s="7" t="s">
        <v>291</v>
      </c>
      <c r="C213" s="443">
        <v>2014</v>
      </c>
      <c r="D213" s="556">
        <v>59.574370603257869</v>
      </c>
      <c r="E213" s="375">
        <v>111.7</v>
      </c>
      <c r="F213" s="776">
        <v>67.3</v>
      </c>
      <c r="G213" s="368">
        <f t="shared" si="5"/>
        <v>3.6058087691872842</v>
      </c>
      <c r="H213" s="775"/>
    </row>
    <row r="214" spans="1:8" x14ac:dyDescent="0.25">
      <c r="A214" s="446">
        <f t="shared" si="6"/>
        <v>193</v>
      </c>
      <c r="B214" s="7" t="s">
        <v>292</v>
      </c>
      <c r="C214" s="443">
        <v>2014</v>
      </c>
      <c r="D214" s="556">
        <v>59.574370603257869</v>
      </c>
      <c r="E214" s="375">
        <v>111.8</v>
      </c>
      <c r="F214" s="776">
        <v>63.4</v>
      </c>
      <c r="G214" s="368">
        <f t="shared" si="5"/>
        <v>3.5104961041635208</v>
      </c>
      <c r="H214" s="775"/>
    </row>
    <row r="215" spans="1:8" x14ac:dyDescent="0.25">
      <c r="A215" s="446">
        <f t="shared" si="6"/>
        <v>194</v>
      </c>
      <c r="B215" s="7" t="s">
        <v>293</v>
      </c>
      <c r="C215" s="443">
        <v>2014</v>
      </c>
      <c r="D215" s="556">
        <v>59.574370603257869</v>
      </c>
      <c r="E215" s="375">
        <v>112.2</v>
      </c>
      <c r="F215" s="776">
        <v>59.6</v>
      </c>
      <c r="G215" s="368">
        <f t="shared" si="5"/>
        <v>3.4199700817496264</v>
      </c>
      <c r="H215" s="775"/>
    </row>
    <row r="216" spans="1:8" x14ac:dyDescent="0.25">
      <c r="A216" s="446">
        <f t="shared" si="6"/>
        <v>195</v>
      </c>
      <c r="B216" s="7" t="s">
        <v>294</v>
      </c>
      <c r="C216" s="443">
        <v>2014</v>
      </c>
      <c r="D216" s="556">
        <v>59.574370603257869</v>
      </c>
      <c r="E216" s="375">
        <v>112.2</v>
      </c>
      <c r="F216" s="776">
        <v>54.3</v>
      </c>
      <c r="G216" s="368">
        <f t="shared" si="5"/>
        <v>3.2893903716046986</v>
      </c>
      <c r="H216" s="775"/>
    </row>
    <row r="217" spans="1:8" x14ac:dyDescent="0.25">
      <c r="A217" s="446">
        <f t="shared" si="6"/>
        <v>196</v>
      </c>
      <c r="B217" s="7" t="s">
        <v>295</v>
      </c>
      <c r="C217" s="443">
        <v>2015</v>
      </c>
      <c r="D217" s="556">
        <v>59.574370603257869</v>
      </c>
      <c r="E217" s="375">
        <v>112.8</v>
      </c>
      <c r="F217" s="776">
        <v>47.7</v>
      </c>
      <c r="G217" s="368">
        <f t="shared" si="5"/>
        <v>3.1314274249403793</v>
      </c>
      <c r="H217" s="775"/>
    </row>
    <row r="218" spans="1:8" x14ac:dyDescent="0.25">
      <c r="A218" s="446">
        <f t="shared" si="6"/>
        <v>197</v>
      </c>
      <c r="B218" s="7" t="s">
        <v>296</v>
      </c>
      <c r="C218" s="443">
        <v>2015</v>
      </c>
      <c r="D218" s="556">
        <v>59.574370603257869</v>
      </c>
      <c r="E218" s="375">
        <v>113.4</v>
      </c>
      <c r="F218" s="776">
        <v>44.3</v>
      </c>
      <c r="G218" s="368">
        <f t="shared" si="5"/>
        <v>3.0523050579862048</v>
      </c>
      <c r="H218" s="775"/>
    </row>
    <row r="219" spans="1:8" x14ac:dyDescent="0.25">
      <c r="A219" s="446">
        <f t="shared" si="6"/>
        <v>198</v>
      </c>
      <c r="B219" s="7" t="s">
        <v>297</v>
      </c>
      <c r="C219" s="443">
        <v>2015</v>
      </c>
      <c r="D219" s="556">
        <v>59.574370603257869</v>
      </c>
      <c r="E219" s="375">
        <v>113.8</v>
      </c>
      <c r="F219" s="776">
        <v>48.6</v>
      </c>
      <c r="G219" s="368">
        <f t="shared" si="5"/>
        <v>3.1613442529636142</v>
      </c>
      <c r="H219" s="775"/>
    </row>
    <row r="220" spans="1:8" x14ac:dyDescent="0.25">
      <c r="A220" s="446">
        <f t="shared" si="6"/>
        <v>199</v>
      </c>
      <c r="B220" s="7" t="s">
        <v>298</v>
      </c>
      <c r="C220" s="443">
        <v>2015</v>
      </c>
      <c r="D220" s="556">
        <v>59.574370603257869</v>
      </c>
      <c r="E220" s="375">
        <v>115</v>
      </c>
      <c r="F220" s="776">
        <v>51.2</v>
      </c>
      <c r="G220" s="368">
        <f t="shared" si="5"/>
        <v>3.2346937219538163</v>
      </c>
      <c r="H220" s="775"/>
    </row>
    <row r="221" spans="1:8" x14ac:dyDescent="0.25">
      <c r="A221" s="446">
        <f t="shared" si="6"/>
        <v>200</v>
      </c>
      <c r="B221" s="7" t="s">
        <v>299</v>
      </c>
      <c r="C221" s="443">
        <v>2015</v>
      </c>
      <c r="D221" s="556">
        <v>59.574370603257869</v>
      </c>
      <c r="E221" s="375">
        <v>115</v>
      </c>
      <c r="F221" s="776">
        <v>51.7</v>
      </c>
      <c r="G221" s="368">
        <f t="shared" si="5"/>
        <v>3.2470125625335262</v>
      </c>
      <c r="H221" s="775"/>
    </row>
    <row r="222" spans="1:8" x14ac:dyDescent="0.25">
      <c r="A222" s="446">
        <f t="shared" si="6"/>
        <v>201</v>
      </c>
      <c r="B222" s="7" t="s">
        <v>300</v>
      </c>
      <c r="C222" s="443">
        <v>2015</v>
      </c>
      <c r="D222" s="556">
        <v>59.574370603257869</v>
      </c>
      <c r="E222" s="375">
        <v>115</v>
      </c>
      <c r="F222" s="776">
        <v>53.6</v>
      </c>
      <c r="G222" s="368">
        <f t="shared" si="5"/>
        <v>3.2938241567364246</v>
      </c>
      <c r="H222" s="775"/>
    </row>
    <row r="223" spans="1:8" x14ac:dyDescent="0.25">
      <c r="A223" s="446">
        <f t="shared" si="6"/>
        <v>202</v>
      </c>
      <c r="B223" s="7" t="s">
        <v>289</v>
      </c>
      <c r="C223" s="443">
        <v>2015</v>
      </c>
      <c r="D223" s="556">
        <v>64.759170775213761</v>
      </c>
      <c r="E223" s="375">
        <v>115</v>
      </c>
      <c r="F223" s="776">
        <v>53.1</v>
      </c>
      <c r="G223" s="368">
        <f t="shared" si="5"/>
        <v>3.3626883714807603</v>
      </c>
      <c r="H223" s="775"/>
    </row>
    <row r="224" spans="1:8" x14ac:dyDescent="0.25">
      <c r="A224" s="446">
        <f t="shared" si="6"/>
        <v>203</v>
      </c>
      <c r="B224" s="7" t="s">
        <v>290</v>
      </c>
      <c r="C224" s="443">
        <v>2015</v>
      </c>
      <c r="D224" s="556">
        <v>64.759170775213761</v>
      </c>
      <c r="E224" s="375">
        <v>115</v>
      </c>
      <c r="F224" s="776">
        <v>49.8</v>
      </c>
      <c r="G224" s="368">
        <f t="shared" si="5"/>
        <v>3.2813840236546734</v>
      </c>
      <c r="H224" s="775"/>
    </row>
    <row r="225" spans="1:8" x14ac:dyDescent="0.25">
      <c r="A225" s="446">
        <f t="shared" si="6"/>
        <v>204</v>
      </c>
      <c r="B225" s="7" t="s">
        <v>291</v>
      </c>
      <c r="C225" s="443">
        <v>2015</v>
      </c>
      <c r="D225" s="556">
        <v>64.759170775213761</v>
      </c>
      <c r="E225" s="375">
        <v>115</v>
      </c>
      <c r="F225" s="776">
        <v>48</v>
      </c>
      <c r="G225" s="368">
        <f t="shared" si="5"/>
        <v>3.2370361975677171</v>
      </c>
      <c r="H225" s="775"/>
    </row>
    <row r="226" spans="1:8" x14ac:dyDescent="0.25">
      <c r="A226" s="446">
        <f t="shared" si="6"/>
        <v>205</v>
      </c>
      <c r="B226" s="7" t="s">
        <v>292</v>
      </c>
      <c r="C226" s="443">
        <v>2015</v>
      </c>
      <c r="D226" s="556">
        <v>64.759170775213761</v>
      </c>
      <c r="E226" s="375">
        <v>116.7</v>
      </c>
      <c r="F226" s="776">
        <v>50.4</v>
      </c>
      <c r="G226" s="368">
        <f t="shared" si="5"/>
        <v>3.3093295878159128</v>
      </c>
      <c r="H226" s="775"/>
    </row>
    <row r="227" spans="1:8" x14ac:dyDescent="0.25">
      <c r="A227" s="446">
        <f t="shared" si="6"/>
        <v>206</v>
      </c>
      <c r="B227" s="7" t="s">
        <v>293</v>
      </c>
      <c r="C227" s="443">
        <v>2015</v>
      </c>
      <c r="D227" s="556">
        <v>64.759170775213761</v>
      </c>
      <c r="E227" s="375">
        <v>116.7</v>
      </c>
      <c r="F227" s="776">
        <v>49.9</v>
      </c>
      <c r="G227" s="368">
        <f t="shared" si="5"/>
        <v>3.2970107472362029</v>
      </c>
      <c r="H227" s="775"/>
    </row>
    <row r="228" spans="1:8" x14ac:dyDescent="0.25">
      <c r="A228" s="446">
        <f t="shared" si="6"/>
        <v>207</v>
      </c>
      <c r="B228" s="7" t="s">
        <v>294</v>
      </c>
      <c r="C228" s="443">
        <v>2015</v>
      </c>
      <c r="D228" s="556">
        <v>64.759170775213761</v>
      </c>
      <c r="E228" s="375">
        <v>116.7</v>
      </c>
      <c r="F228" s="776">
        <v>49.8</v>
      </c>
      <c r="G228" s="368">
        <f t="shared" si="5"/>
        <v>3.2945469791202608</v>
      </c>
      <c r="H228" s="775"/>
    </row>
    <row r="229" spans="1:8" x14ac:dyDescent="0.25">
      <c r="A229" s="446">
        <f t="shared" si="6"/>
        <v>208</v>
      </c>
      <c r="B229" s="7" t="s">
        <v>295</v>
      </c>
      <c r="C229" s="443">
        <v>2016</v>
      </c>
      <c r="D229" s="556">
        <v>64.759170775213761</v>
      </c>
      <c r="E229" s="375">
        <v>120.1</v>
      </c>
      <c r="F229" s="776">
        <v>46.1</v>
      </c>
      <c r="G229" s="368">
        <f t="shared" si="5"/>
        <v>3.2297134697615797</v>
      </c>
      <c r="H229" s="775"/>
    </row>
    <row r="230" spans="1:8" x14ac:dyDescent="0.25">
      <c r="A230" s="446">
        <f t="shared" si="6"/>
        <v>209</v>
      </c>
      <c r="B230" s="7" t="s">
        <v>296</v>
      </c>
      <c r="C230" s="443">
        <v>2016</v>
      </c>
      <c r="D230" s="556">
        <v>64.759170775213761</v>
      </c>
      <c r="E230" s="375">
        <v>120.1</v>
      </c>
      <c r="F230" s="776">
        <v>43.2</v>
      </c>
      <c r="G230" s="368">
        <f t="shared" si="5"/>
        <v>3.1582641943992611</v>
      </c>
      <c r="H230" s="775"/>
    </row>
    <row r="231" spans="1:8" x14ac:dyDescent="0.25">
      <c r="A231" s="446">
        <f t="shared" si="6"/>
        <v>210</v>
      </c>
      <c r="B231" s="7" t="s">
        <v>297</v>
      </c>
      <c r="C231" s="443">
        <v>2016</v>
      </c>
      <c r="D231" s="556">
        <v>64.759170775213761</v>
      </c>
      <c r="E231" s="375">
        <v>121.1</v>
      </c>
      <c r="F231" s="776">
        <v>43.9</v>
      </c>
      <c r="G231" s="368">
        <f t="shared" ref="G231:G279" si="7">((1-$B$15)*(($B$16*D231/$E$15)+($B$17*E231/$E$17)+($B$18*F231/$E$19)-1))+1</f>
        <v>3.1832534861906123</v>
      </c>
      <c r="H231" s="775"/>
    </row>
    <row r="232" spans="1:8" x14ac:dyDescent="0.25">
      <c r="A232" s="446">
        <f t="shared" ref="A232:A281" si="8">A231+1</f>
        <v>211</v>
      </c>
      <c r="B232" s="7" t="s">
        <v>298</v>
      </c>
      <c r="C232" s="443">
        <v>2016</v>
      </c>
      <c r="D232" s="556">
        <v>64.759170775213761</v>
      </c>
      <c r="E232" s="375">
        <v>125.2</v>
      </c>
      <c r="F232" s="776">
        <v>48.3</v>
      </c>
      <c r="G232" s="368">
        <f t="shared" si="7"/>
        <v>3.3234052347090652</v>
      </c>
      <c r="H232" s="775"/>
    </row>
    <row r="233" spans="1:8" x14ac:dyDescent="0.25">
      <c r="A233" s="446">
        <f t="shared" si="8"/>
        <v>212</v>
      </c>
      <c r="B233" s="7" t="s">
        <v>299</v>
      </c>
      <c r="C233" s="443">
        <v>2016</v>
      </c>
      <c r="D233" s="556">
        <v>64.759170775213761</v>
      </c>
      <c r="E233" s="375">
        <v>125.2</v>
      </c>
      <c r="F233" s="776">
        <v>48.2</v>
      </c>
      <c r="G233" s="368">
        <f t="shared" si="7"/>
        <v>3.3209414665931236</v>
      </c>
      <c r="H233" s="775"/>
    </row>
    <row r="234" spans="1:8" x14ac:dyDescent="0.25">
      <c r="A234" s="446">
        <f t="shared" si="8"/>
        <v>213</v>
      </c>
      <c r="B234" s="7" t="s">
        <v>300</v>
      </c>
      <c r="C234" s="443">
        <v>2016</v>
      </c>
      <c r="D234" s="556">
        <v>64.759170775213761</v>
      </c>
      <c r="E234" s="375">
        <v>125.2</v>
      </c>
      <c r="F234" s="776">
        <v>51.7</v>
      </c>
      <c r="G234" s="368">
        <f t="shared" si="7"/>
        <v>3.4071733506510946</v>
      </c>
      <c r="H234" s="775"/>
    </row>
    <row r="235" spans="1:8" x14ac:dyDescent="0.25">
      <c r="A235" s="446">
        <f t="shared" si="8"/>
        <v>214</v>
      </c>
      <c r="B235" s="7" t="s">
        <v>289</v>
      </c>
      <c r="C235" s="443">
        <v>2016</v>
      </c>
      <c r="D235" s="556">
        <v>70.045633695639367</v>
      </c>
      <c r="E235" s="375">
        <v>129.4</v>
      </c>
      <c r="F235" s="776">
        <v>53.7</v>
      </c>
      <c r="G235" s="368">
        <f t="shared" si="7"/>
        <v>3.5717438358231584</v>
      </c>
      <c r="H235" s="775"/>
    </row>
    <row r="236" spans="1:8" x14ac:dyDescent="0.25">
      <c r="A236" s="446">
        <f t="shared" si="8"/>
        <v>215</v>
      </c>
      <c r="B236" s="7" t="s">
        <v>290</v>
      </c>
      <c r="C236" s="443">
        <v>2016</v>
      </c>
      <c r="D236" s="556">
        <v>70.045633695639367</v>
      </c>
      <c r="E236" s="375">
        <v>129.4</v>
      </c>
      <c r="F236" s="776">
        <v>50.2</v>
      </c>
      <c r="G236" s="368">
        <f t="shared" si="7"/>
        <v>3.4855119517651869</v>
      </c>
      <c r="H236" s="775"/>
    </row>
    <row r="237" spans="1:8" x14ac:dyDescent="0.25">
      <c r="A237" s="446">
        <f t="shared" si="8"/>
        <v>216</v>
      </c>
      <c r="B237" s="7" t="s">
        <v>291</v>
      </c>
      <c r="C237" s="443">
        <v>2016</v>
      </c>
      <c r="D237" s="556">
        <v>70.045633695639367</v>
      </c>
      <c r="E237" s="375">
        <v>129.4</v>
      </c>
      <c r="F237" s="776">
        <v>48</v>
      </c>
      <c r="G237" s="368">
        <f t="shared" si="7"/>
        <v>3.4313090532144623</v>
      </c>
      <c r="H237" s="775"/>
    </row>
    <row r="238" spans="1:8" x14ac:dyDescent="0.25">
      <c r="A238" s="446">
        <f t="shared" si="8"/>
        <v>217</v>
      </c>
      <c r="B238" s="7" t="s">
        <v>292</v>
      </c>
      <c r="C238" s="443">
        <v>2016</v>
      </c>
      <c r="D238" s="556">
        <v>70.045633695639367</v>
      </c>
      <c r="E238" s="375">
        <v>129.4</v>
      </c>
      <c r="F238" s="776">
        <v>49.1</v>
      </c>
      <c r="G238" s="368">
        <f t="shared" si="7"/>
        <v>3.4584105024898246</v>
      </c>
      <c r="H238" s="775"/>
    </row>
    <row r="239" spans="1:8" x14ac:dyDescent="0.25">
      <c r="A239" s="446">
        <f t="shared" si="8"/>
        <v>218</v>
      </c>
      <c r="B239" s="7" t="s">
        <v>293</v>
      </c>
      <c r="C239" s="443">
        <v>2016</v>
      </c>
      <c r="D239" s="556">
        <v>70.045633695639367</v>
      </c>
      <c r="E239" s="375">
        <v>129.4</v>
      </c>
      <c r="F239" s="776">
        <v>52</v>
      </c>
      <c r="G239" s="368">
        <f t="shared" si="7"/>
        <v>3.5298597778521437</v>
      </c>
      <c r="H239" s="775"/>
    </row>
    <row r="240" spans="1:8" x14ac:dyDescent="0.25">
      <c r="A240" s="446">
        <f t="shared" si="8"/>
        <v>219</v>
      </c>
      <c r="B240" s="7" t="s">
        <v>294</v>
      </c>
      <c r="C240" s="443">
        <v>2016</v>
      </c>
      <c r="D240" s="556">
        <v>70.045633695639367</v>
      </c>
      <c r="E240" s="375">
        <v>129.4</v>
      </c>
      <c r="F240" s="776">
        <v>50.5</v>
      </c>
      <c r="G240" s="368">
        <f t="shared" si="7"/>
        <v>3.4929032561130131</v>
      </c>
      <c r="H240" s="775"/>
    </row>
    <row r="241" spans="1:8" x14ac:dyDescent="0.25">
      <c r="A241" s="446">
        <f t="shared" si="8"/>
        <v>220</v>
      </c>
      <c r="B241" s="7" t="s">
        <v>295</v>
      </c>
      <c r="C241" s="443">
        <v>2017</v>
      </c>
      <c r="D241" s="556">
        <v>70.045633695639367</v>
      </c>
      <c r="E241" s="375">
        <v>129.4</v>
      </c>
      <c r="F241" s="776">
        <v>52.3</v>
      </c>
      <c r="G241" s="368">
        <f t="shared" si="7"/>
        <v>3.5372510821999694</v>
      </c>
      <c r="H241" s="775"/>
    </row>
    <row r="242" spans="1:8" x14ac:dyDescent="0.25">
      <c r="A242" s="446">
        <f t="shared" si="8"/>
        <v>221</v>
      </c>
      <c r="B242" s="7" t="s">
        <v>296</v>
      </c>
      <c r="C242" s="443">
        <v>2017</v>
      </c>
      <c r="D242" s="556">
        <v>70.045633695639367</v>
      </c>
      <c r="E242" s="375">
        <v>129.4</v>
      </c>
      <c r="F242" s="776">
        <v>53.2</v>
      </c>
      <c r="G242" s="368">
        <f t="shared" si="7"/>
        <v>3.559424995243448</v>
      </c>
      <c r="H242" s="775"/>
    </row>
    <row r="243" spans="1:8" x14ac:dyDescent="0.25">
      <c r="A243" s="446">
        <f t="shared" si="8"/>
        <v>222</v>
      </c>
      <c r="B243" s="7" t="s">
        <v>297</v>
      </c>
      <c r="C243" s="443">
        <v>2017</v>
      </c>
      <c r="D243" s="556">
        <v>70.045633695639367</v>
      </c>
      <c r="E243" s="375">
        <v>129.4</v>
      </c>
      <c r="F243" s="776">
        <v>53.1</v>
      </c>
      <c r="G243" s="368">
        <f t="shared" si="7"/>
        <v>3.556961227127506</v>
      </c>
      <c r="H243" s="775"/>
    </row>
    <row r="244" spans="1:8" x14ac:dyDescent="0.25">
      <c r="A244" s="446">
        <f t="shared" si="8"/>
        <v>223</v>
      </c>
      <c r="B244" s="7" t="s">
        <v>298</v>
      </c>
      <c r="C244" s="443">
        <v>2017</v>
      </c>
      <c r="D244" s="556">
        <v>70.045633695639367</v>
      </c>
      <c r="E244" s="375">
        <v>129.4</v>
      </c>
      <c r="F244" s="776">
        <v>52.6</v>
      </c>
      <c r="G244" s="368">
        <f t="shared" si="7"/>
        <v>3.5446423865477961</v>
      </c>
      <c r="H244" s="775"/>
    </row>
    <row r="245" spans="1:8" x14ac:dyDescent="0.25">
      <c r="A245" s="446">
        <f t="shared" si="8"/>
        <v>224</v>
      </c>
      <c r="B245" s="7" t="s">
        <v>299</v>
      </c>
      <c r="C245" s="443">
        <v>2017</v>
      </c>
      <c r="D245" s="556">
        <v>70.045633695639367</v>
      </c>
      <c r="E245" s="375">
        <v>129.4</v>
      </c>
      <c r="F245" s="776">
        <v>54.1</v>
      </c>
      <c r="G245" s="368">
        <f t="shared" si="7"/>
        <v>3.5815989082869257</v>
      </c>
      <c r="H245" s="775"/>
    </row>
    <row r="246" spans="1:8" x14ac:dyDescent="0.25">
      <c r="A246" s="446">
        <f t="shared" si="8"/>
        <v>225</v>
      </c>
      <c r="B246" s="7" t="s">
        <v>300</v>
      </c>
      <c r="C246" s="443">
        <v>2017</v>
      </c>
      <c r="D246" s="556">
        <v>70.045633695639367</v>
      </c>
      <c r="E246" s="375">
        <v>129.4</v>
      </c>
      <c r="F246" s="776">
        <v>53</v>
      </c>
      <c r="G246" s="368">
        <f t="shared" si="7"/>
        <v>3.5544974590115643</v>
      </c>
      <c r="H246" s="775"/>
    </row>
    <row r="247" spans="1:8" x14ac:dyDescent="0.25">
      <c r="A247" s="446">
        <f t="shared" si="8"/>
        <v>226</v>
      </c>
      <c r="B247" s="7" t="s">
        <v>289</v>
      </c>
      <c r="C247" s="443">
        <v>2017</v>
      </c>
      <c r="D247" s="556">
        <v>74.936971127980101</v>
      </c>
      <c r="E247" s="375">
        <v>129.4</v>
      </c>
      <c r="F247" s="776">
        <v>50.2</v>
      </c>
      <c r="G247" s="368">
        <f t="shared" si="7"/>
        <v>3.5620999984031538</v>
      </c>
      <c r="H247" s="775"/>
    </row>
    <row r="248" spans="1:8" x14ac:dyDescent="0.25">
      <c r="A248" s="446">
        <f t="shared" si="8"/>
        <v>227</v>
      </c>
      <c r="B248" s="7" t="s">
        <v>290</v>
      </c>
      <c r="C248" s="443">
        <v>2017</v>
      </c>
      <c r="D248" s="556">
        <v>74.936971127980101</v>
      </c>
      <c r="E248" s="375">
        <v>129.4</v>
      </c>
      <c r="F248" s="776">
        <v>51.6</v>
      </c>
      <c r="G248" s="368">
        <f t="shared" si="7"/>
        <v>3.5965927520263428</v>
      </c>
      <c r="H248" s="775"/>
    </row>
    <row r="249" spans="1:8" x14ac:dyDescent="0.25">
      <c r="A249" s="446">
        <f t="shared" si="8"/>
        <v>228</v>
      </c>
      <c r="B249" s="7" t="s">
        <v>291</v>
      </c>
      <c r="C249" s="443">
        <v>2017</v>
      </c>
      <c r="D249" s="556">
        <v>74.936971127980101</v>
      </c>
      <c r="E249" s="375">
        <v>129.4</v>
      </c>
      <c r="F249" s="776">
        <v>53.7</v>
      </c>
      <c r="G249" s="368">
        <f t="shared" si="7"/>
        <v>3.6483318824611253</v>
      </c>
      <c r="H249" s="775"/>
    </row>
    <row r="250" spans="1:8" x14ac:dyDescent="0.25">
      <c r="A250" s="446">
        <f t="shared" si="8"/>
        <v>229</v>
      </c>
      <c r="B250" s="7" t="s">
        <v>292</v>
      </c>
      <c r="C250" s="443">
        <v>2017</v>
      </c>
      <c r="D250" s="556">
        <v>74.936971127980101</v>
      </c>
      <c r="E250" s="375">
        <v>129.4</v>
      </c>
      <c r="F250" s="776">
        <v>55.6</v>
      </c>
      <c r="G250" s="368">
        <f t="shared" si="7"/>
        <v>3.6951434766640237</v>
      </c>
      <c r="H250" s="775"/>
    </row>
    <row r="251" spans="1:8" x14ac:dyDescent="0.25">
      <c r="A251" s="446">
        <f t="shared" si="8"/>
        <v>230</v>
      </c>
      <c r="B251" s="7" t="s">
        <v>293</v>
      </c>
      <c r="C251" s="443">
        <v>2017</v>
      </c>
      <c r="D251" s="556">
        <v>74.936971127980101</v>
      </c>
      <c r="E251" s="375">
        <v>129.4</v>
      </c>
      <c r="F251" s="776">
        <v>56.8</v>
      </c>
      <c r="G251" s="368">
        <f t="shared" si="7"/>
        <v>3.7247086940553276</v>
      </c>
      <c r="H251" s="775"/>
    </row>
    <row r="252" spans="1:8" x14ac:dyDescent="0.25">
      <c r="A252" s="446">
        <f t="shared" si="8"/>
        <v>231</v>
      </c>
      <c r="B252" s="7" t="s">
        <v>294</v>
      </c>
      <c r="C252" s="443">
        <v>2017</v>
      </c>
      <c r="D252" s="556">
        <v>74.936971127980101</v>
      </c>
      <c r="E252" s="375">
        <v>129.4</v>
      </c>
      <c r="F252" s="776">
        <v>59.5</v>
      </c>
      <c r="G252" s="368">
        <f t="shared" si="7"/>
        <v>3.7912304331857625</v>
      </c>
      <c r="H252" s="775"/>
    </row>
    <row r="253" spans="1:8" x14ac:dyDescent="0.25">
      <c r="A253" s="446">
        <f t="shared" si="8"/>
        <v>232</v>
      </c>
      <c r="B253" s="7" t="s">
        <v>295</v>
      </c>
      <c r="C253" s="443">
        <v>2018</v>
      </c>
      <c r="D253" s="556">
        <v>74.936971127980101</v>
      </c>
      <c r="E253" s="375">
        <v>129.4</v>
      </c>
      <c r="F253" s="776">
        <v>58.4</v>
      </c>
      <c r="G253" s="368">
        <f t="shared" si="7"/>
        <v>3.7641289839104002</v>
      </c>
      <c r="H253" s="775"/>
    </row>
    <row r="254" spans="1:8" x14ac:dyDescent="0.25">
      <c r="A254" s="446">
        <f t="shared" si="8"/>
        <v>233</v>
      </c>
      <c r="B254" s="7" t="s">
        <v>296</v>
      </c>
      <c r="C254" s="443">
        <v>2018</v>
      </c>
      <c r="D254" s="556">
        <v>74.936971127980101</v>
      </c>
      <c r="E254" s="375">
        <v>129.4</v>
      </c>
      <c r="F254" s="776">
        <v>57.5</v>
      </c>
      <c r="G254" s="368">
        <f t="shared" si="7"/>
        <v>3.7419550708669216</v>
      </c>
      <c r="H254" s="775"/>
    </row>
    <row r="255" spans="1:8" x14ac:dyDescent="0.25">
      <c r="A255" s="446">
        <f t="shared" si="8"/>
        <v>234</v>
      </c>
      <c r="B255" s="7" t="s">
        <v>297</v>
      </c>
      <c r="C255" s="443">
        <v>2018</v>
      </c>
      <c r="D255" s="556">
        <v>74.936971127980101</v>
      </c>
      <c r="E255" s="375">
        <v>129.4</v>
      </c>
      <c r="F255" s="776">
        <v>55.5</v>
      </c>
      <c r="G255" s="368">
        <f t="shared" si="7"/>
        <v>3.6926797085480816</v>
      </c>
      <c r="H255" s="775"/>
    </row>
    <row r="256" spans="1:8" x14ac:dyDescent="0.25">
      <c r="A256" s="446">
        <f t="shared" si="8"/>
        <v>235</v>
      </c>
      <c r="B256" s="7" t="s">
        <v>298</v>
      </c>
      <c r="C256" s="443">
        <v>2018</v>
      </c>
      <c r="D256" s="556">
        <v>74.936971127980101</v>
      </c>
      <c r="E256" s="375">
        <v>129.4</v>
      </c>
      <c r="F256" s="776">
        <v>58.3</v>
      </c>
      <c r="G256" s="368">
        <f t="shared" si="7"/>
        <v>3.7616652157944581</v>
      </c>
      <c r="H256" s="775"/>
    </row>
    <row r="257" spans="1:8" x14ac:dyDescent="0.25">
      <c r="A257" s="446">
        <f t="shared" si="8"/>
        <v>236</v>
      </c>
      <c r="B257" s="7" t="s">
        <v>299</v>
      </c>
      <c r="C257" s="443">
        <v>2018</v>
      </c>
      <c r="D257" s="556">
        <v>74.936971127980101</v>
      </c>
      <c r="E257" s="375">
        <v>129.4</v>
      </c>
      <c r="F257" s="776">
        <v>61.4</v>
      </c>
      <c r="G257" s="368">
        <f t="shared" si="7"/>
        <v>3.8380420273886613</v>
      </c>
      <c r="H257" s="775"/>
    </row>
    <row r="258" spans="1:8" x14ac:dyDescent="0.25">
      <c r="A258" s="446">
        <f t="shared" si="8"/>
        <v>237</v>
      </c>
      <c r="B258" s="7" t="s">
        <v>300</v>
      </c>
      <c r="C258" s="443">
        <v>2018</v>
      </c>
      <c r="D258" s="556">
        <v>74.936971127980101</v>
      </c>
      <c r="E258" s="375">
        <v>129.4</v>
      </c>
      <c r="F258" s="776">
        <v>65</v>
      </c>
      <c r="G258" s="368">
        <f t="shared" si="7"/>
        <v>3.9267376795625739</v>
      </c>
      <c r="H258" s="775"/>
    </row>
    <row r="259" spans="1:8" x14ac:dyDescent="0.25">
      <c r="A259" s="446">
        <f t="shared" si="8"/>
        <v>238</v>
      </c>
      <c r="B259" s="7" t="s">
        <v>289</v>
      </c>
      <c r="C259" s="443">
        <v>2018</v>
      </c>
      <c r="D259" s="556">
        <v>79.995216679118755</v>
      </c>
      <c r="E259" s="375">
        <v>129.4</v>
      </c>
      <c r="F259" s="776">
        <v>66.099999999999994</v>
      </c>
      <c r="G259" s="368">
        <f t="shared" si="7"/>
        <v>4.0330406052307648</v>
      </c>
      <c r="H259" s="775"/>
    </row>
    <row r="260" spans="1:8" x14ac:dyDescent="0.25">
      <c r="A260" s="446">
        <f t="shared" si="8"/>
        <v>239</v>
      </c>
      <c r="B260" s="7" t="s">
        <v>290</v>
      </c>
      <c r="C260" s="443">
        <v>2018</v>
      </c>
      <c r="D260" s="556">
        <v>79.995216679118755</v>
      </c>
      <c r="E260" s="375">
        <v>129.4</v>
      </c>
      <c r="F260" s="776">
        <v>65.900000000000006</v>
      </c>
      <c r="G260" s="368">
        <f t="shared" si="7"/>
        <v>4.0281130689988807</v>
      </c>
      <c r="H260" s="775"/>
    </row>
    <row r="261" spans="1:8" x14ac:dyDescent="0.25">
      <c r="A261" s="446">
        <f t="shared" si="8"/>
        <v>240</v>
      </c>
      <c r="B261" s="7" t="s">
        <v>291</v>
      </c>
      <c r="C261" s="443">
        <v>2018</v>
      </c>
      <c r="D261" s="556">
        <v>79.995216679118755</v>
      </c>
      <c r="E261" s="375">
        <v>129.4</v>
      </c>
      <c r="F261" s="776">
        <v>65.900000000000006</v>
      </c>
      <c r="G261" s="368">
        <f t="shared" si="7"/>
        <v>4.0281130689988807</v>
      </c>
      <c r="H261" s="775"/>
    </row>
    <row r="262" spans="1:8" x14ac:dyDescent="0.25">
      <c r="A262" s="446">
        <f t="shared" si="8"/>
        <v>241</v>
      </c>
      <c r="B262" s="7" t="s">
        <v>292</v>
      </c>
      <c r="C262" s="443">
        <v>2018</v>
      </c>
      <c r="D262" s="556">
        <v>79.995216679118755</v>
      </c>
      <c r="E262" s="375">
        <v>129.4</v>
      </c>
      <c r="F262" s="776">
        <v>71.7</v>
      </c>
      <c r="G262" s="368">
        <f t="shared" si="7"/>
        <v>4.1710116197235187</v>
      </c>
      <c r="H262" s="775"/>
    </row>
    <row r="263" spans="1:8" x14ac:dyDescent="0.25">
      <c r="A263" s="446">
        <f t="shared" si="8"/>
        <v>242</v>
      </c>
      <c r="B263" s="7" t="s">
        <v>293</v>
      </c>
      <c r="C263" s="443">
        <v>2018</v>
      </c>
      <c r="D263" s="556">
        <v>79.995216679118755</v>
      </c>
      <c r="E263" s="375">
        <v>129.4</v>
      </c>
      <c r="F263" s="776">
        <v>74</v>
      </c>
      <c r="G263" s="368">
        <f t="shared" si="7"/>
        <v>4.2276782863901854</v>
      </c>
      <c r="H263" s="775"/>
    </row>
    <row r="264" spans="1:8" x14ac:dyDescent="0.25">
      <c r="A264" s="446">
        <f t="shared" si="8"/>
        <v>243</v>
      </c>
      <c r="B264" s="7" t="s">
        <v>294</v>
      </c>
      <c r="C264" s="443">
        <v>2018</v>
      </c>
      <c r="D264" s="556">
        <v>79.995216679118755</v>
      </c>
      <c r="E264" s="375">
        <v>129.4</v>
      </c>
      <c r="F264" s="776">
        <v>66.7</v>
      </c>
      <c r="G264" s="368">
        <f t="shared" si="7"/>
        <v>4.0478232139264172</v>
      </c>
      <c r="H264" s="775"/>
    </row>
    <row r="265" spans="1:8" x14ac:dyDescent="0.25">
      <c r="A265" s="446">
        <f t="shared" si="8"/>
        <v>244</v>
      </c>
      <c r="B265" s="7" t="s">
        <v>295</v>
      </c>
      <c r="C265" s="443">
        <v>2019</v>
      </c>
      <c r="D265" s="556">
        <v>79.995216679118755</v>
      </c>
      <c r="E265" s="375">
        <v>129.4</v>
      </c>
      <c r="F265" s="776">
        <v>59.5</v>
      </c>
      <c r="G265" s="368">
        <f t="shared" si="7"/>
        <v>3.8704319095785911</v>
      </c>
      <c r="H265" s="775"/>
    </row>
    <row r="266" spans="1:8" x14ac:dyDescent="0.25">
      <c r="A266" s="446">
        <f t="shared" si="8"/>
        <v>245</v>
      </c>
      <c r="B266" s="7" t="s">
        <v>296</v>
      </c>
      <c r="C266" s="443">
        <v>2019</v>
      </c>
      <c r="D266" s="556">
        <v>79.995216679118755</v>
      </c>
      <c r="E266" s="375">
        <v>129.4</v>
      </c>
      <c r="F266" s="776">
        <v>59.6</v>
      </c>
      <c r="G266" s="368">
        <f t="shared" si="7"/>
        <v>3.8728956776945336</v>
      </c>
      <c r="H266" s="775"/>
    </row>
    <row r="267" spans="1:8" x14ac:dyDescent="0.25">
      <c r="A267" s="446">
        <f t="shared" si="8"/>
        <v>246</v>
      </c>
      <c r="B267" s="7" t="s">
        <v>297</v>
      </c>
      <c r="C267" s="443">
        <v>2019</v>
      </c>
      <c r="D267" s="556">
        <v>79.995216679118755</v>
      </c>
      <c r="E267" s="375">
        <v>129.4</v>
      </c>
      <c r="F267" s="776">
        <v>63.9</v>
      </c>
      <c r="G267" s="368">
        <f t="shared" si="7"/>
        <v>3.9788377066800402</v>
      </c>
      <c r="H267" s="775"/>
    </row>
    <row r="268" spans="1:8" x14ac:dyDescent="0.25">
      <c r="A268" s="446">
        <f t="shared" si="8"/>
        <v>247</v>
      </c>
      <c r="B268" s="7" t="s">
        <v>298</v>
      </c>
      <c r="C268" s="443">
        <v>2019</v>
      </c>
      <c r="D268" s="556">
        <v>79.995216679118755</v>
      </c>
      <c r="E268" s="375">
        <v>129.4</v>
      </c>
      <c r="F268" s="776">
        <v>67.5</v>
      </c>
      <c r="G268" s="368">
        <f t="shared" si="7"/>
        <v>4.0675333588539537</v>
      </c>
      <c r="H268" s="775"/>
    </row>
    <row r="269" spans="1:8" x14ac:dyDescent="0.25">
      <c r="A269" s="446">
        <f t="shared" si="8"/>
        <v>248</v>
      </c>
      <c r="B269" s="7" t="s">
        <v>299</v>
      </c>
      <c r="C269" s="443">
        <v>2019</v>
      </c>
      <c r="D269" s="556">
        <v>79.995216679118755</v>
      </c>
      <c r="E269" s="375">
        <v>129.4</v>
      </c>
      <c r="F269" s="776">
        <v>67.599999999999994</v>
      </c>
      <c r="G269" s="368">
        <f t="shared" si="7"/>
        <v>4.0699971269698949</v>
      </c>
      <c r="H269" s="775"/>
    </row>
    <row r="270" spans="1:8" x14ac:dyDescent="0.25">
      <c r="A270" s="446">
        <f t="shared" si="8"/>
        <v>249</v>
      </c>
      <c r="B270" s="7" t="s">
        <v>300</v>
      </c>
      <c r="C270" s="443">
        <v>2019</v>
      </c>
      <c r="D270" s="556">
        <v>79.995216679118755</v>
      </c>
      <c r="E270" s="375">
        <v>129.4</v>
      </c>
      <c r="F270" s="776">
        <v>69.099999999999994</v>
      </c>
      <c r="G270" s="368">
        <f t="shared" si="7"/>
        <v>4.1069536487090259</v>
      </c>
      <c r="H270" s="775"/>
    </row>
    <row r="271" spans="1:8" x14ac:dyDescent="0.25">
      <c r="A271" s="446">
        <f t="shared" si="8"/>
        <v>250</v>
      </c>
      <c r="B271" s="7" t="s">
        <v>289</v>
      </c>
      <c r="C271" s="443">
        <v>2019</v>
      </c>
      <c r="D271" s="556">
        <v>85.194905763261474</v>
      </c>
      <c r="E271" s="375">
        <v>129.4</v>
      </c>
      <c r="F271" s="776">
        <v>65.900000000000006</v>
      </c>
      <c r="G271" s="368">
        <f t="shared" si="7"/>
        <v>4.1095292533426946</v>
      </c>
      <c r="H271" s="775"/>
    </row>
    <row r="272" spans="1:8" x14ac:dyDescent="0.25">
      <c r="A272" s="446">
        <f t="shared" si="8"/>
        <v>251</v>
      </c>
      <c r="B272" s="7" t="s">
        <v>290</v>
      </c>
      <c r="C272" s="443">
        <v>2019</v>
      </c>
      <c r="D272" s="556">
        <v>85.194905763261474</v>
      </c>
      <c r="E272" s="375">
        <v>129.4</v>
      </c>
      <c r="F272" s="776">
        <v>65.2</v>
      </c>
      <c r="G272" s="368">
        <f t="shared" si="7"/>
        <v>4.092282876531101</v>
      </c>
      <c r="H272" s="775"/>
    </row>
    <row r="273" spans="1:8" x14ac:dyDescent="0.25">
      <c r="A273" s="446">
        <f t="shared" si="8"/>
        <v>252</v>
      </c>
      <c r="B273" s="7" t="s">
        <v>291</v>
      </c>
      <c r="C273" s="443">
        <v>2019</v>
      </c>
      <c r="D273" s="556">
        <v>85.194905763261474</v>
      </c>
      <c r="E273" s="375">
        <v>129.4</v>
      </c>
      <c r="F273" s="776">
        <v>66.400000000000006</v>
      </c>
      <c r="G273" s="368">
        <f t="shared" si="7"/>
        <v>4.1218480939224058</v>
      </c>
      <c r="H273" s="775"/>
    </row>
    <row r="274" spans="1:8" x14ac:dyDescent="0.25">
      <c r="A274" s="446">
        <f t="shared" si="8"/>
        <v>253</v>
      </c>
      <c r="B274" s="7" t="s">
        <v>292</v>
      </c>
      <c r="C274" s="443">
        <v>2019</v>
      </c>
      <c r="D274" s="556">
        <v>85.194905763261474</v>
      </c>
      <c r="E274" s="375">
        <v>129.4</v>
      </c>
      <c r="F274" s="776">
        <v>67.599999999999994</v>
      </c>
      <c r="G274" s="368">
        <f t="shared" si="7"/>
        <v>4.1514133113137088</v>
      </c>
      <c r="H274" s="775"/>
    </row>
    <row r="275" spans="1:8" x14ac:dyDescent="0.25">
      <c r="A275" s="446">
        <f t="shared" si="8"/>
        <v>254</v>
      </c>
      <c r="B275" s="7" t="s">
        <v>293</v>
      </c>
      <c r="C275" s="443">
        <v>2019</v>
      </c>
      <c r="D275" s="556">
        <v>85.194905763261474</v>
      </c>
      <c r="E275" s="375">
        <v>129.4</v>
      </c>
      <c r="F275" s="776">
        <v>66.8</v>
      </c>
      <c r="G275" s="368">
        <f t="shared" si="7"/>
        <v>4.1317031663861723</v>
      </c>
      <c r="H275" s="775"/>
    </row>
    <row r="276" spans="1:8" x14ac:dyDescent="0.25">
      <c r="A276" s="446">
        <f t="shared" si="8"/>
        <v>255</v>
      </c>
      <c r="B276" s="7" t="s">
        <v>294</v>
      </c>
      <c r="C276" s="443">
        <v>2019</v>
      </c>
      <c r="D276" s="556">
        <v>85.194905763261474</v>
      </c>
      <c r="E276" s="375">
        <v>129.4</v>
      </c>
      <c r="F276" s="776">
        <v>66.2</v>
      </c>
      <c r="G276" s="368">
        <f t="shared" si="7"/>
        <v>4.1169205576905217</v>
      </c>
      <c r="H276" s="775"/>
    </row>
    <row r="277" spans="1:8" x14ac:dyDescent="0.25">
      <c r="A277" s="446">
        <f t="shared" si="8"/>
        <v>256</v>
      </c>
      <c r="B277" s="7" t="s">
        <v>295</v>
      </c>
      <c r="C277" s="443">
        <v>2020</v>
      </c>
      <c r="D277" s="556">
        <v>85.194905763261474</v>
      </c>
      <c r="E277" s="375">
        <v>129.4</v>
      </c>
      <c r="F277" s="776">
        <v>66.599999999999994</v>
      </c>
      <c r="G277" s="368">
        <f t="shared" si="7"/>
        <v>4.1267756301542891</v>
      </c>
      <c r="H277" s="775"/>
    </row>
    <row r="278" spans="1:8" x14ac:dyDescent="0.25">
      <c r="A278" s="446">
        <f t="shared" si="8"/>
        <v>257</v>
      </c>
      <c r="B278" s="7" t="s">
        <v>296</v>
      </c>
      <c r="C278" s="443">
        <v>2020</v>
      </c>
      <c r="D278" s="556">
        <v>85.194905763261474</v>
      </c>
      <c r="E278" s="375">
        <v>129.4</v>
      </c>
      <c r="F278" s="776">
        <v>66.3</v>
      </c>
      <c r="G278" s="368">
        <f t="shared" si="7"/>
        <v>4.1193843258064629</v>
      </c>
      <c r="H278" s="775"/>
    </row>
    <row r="279" spans="1:8" x14ac:dyDescent="0.25">
      <c r="A279" s="446">
        <f t="shared" si="8"/>
        <v>258</v>
      </c>
      <c r="B279" s="7" t="s">
        <v>297</v>
      </c>
      <c r="C279" s="443">
        <v>2020</v>
      </c>
      <c r="D279" s="556">
        <v>85.194905763261474</v>
      </c>
      <c r="E279" s="375">
        <v>129.4</v>
      </c>
      <c r="F279" s="776">
        <v>63.9</v>
      </c>
      <c r="G279" s="368">
        <f t="shared" si="7"/>
        <v>4.0602538910238541</v>
      </c>
      <c r="H279" s="775"/>
    </row>
    <row r="280" spans="1:8" x14ac:dyDescent="0.25">
      <c r="A280" s="446">
        <f t="shared" si="8"/>
        <v>259</v>
      </c>
      <c r="B280" s="7" t="s">
        <v>298</v>
      </c>
      <c r="C280" s="137">
        <v>2020</v>
      </c>
      <c r="D280" s="556">
        <v>85.194905763261474</v>
      </c>
      <c r="E280" s="374">
        <v>129.4</v>
      </c>
      <c r="F280" s="776">
        <v>57.5</v>
      </c>
      <c r="G280" s="368">
        <f>((1-$B$15)*(($B$16*D280/$E$15)+($B$17*E280/$E$17)+($B$18*F280/$E$19)-1))+1</f>
        <v>3.9025727316035645</v>
      </c>
      <c r="H280" s="775"/>
    </row>
    <row r="281" spans="1:8" x14ac:dyDescent="0.25">
      <c r="A281" s="793">
        <f t="shared" si="8"/>
        <v>260</v>
      </c>
      <c r="B281" s="7" t="s">
        <v>299</v>
      </c>
      <c r="C281" s="137">
        <v>2020</v>
      </c>
      <c r="D281" s="556">
        <v>85.194905763261474</v>
      </c>
      <c r="E281" s="374">
        <v>129.4</v>
      </c>
      <c r="F281" s="801">
        <v>50.2</v>
      </c>
      <c r="G281" s="368">
        <f t="shared" ref="G281:G289" si="9">ROUND(((1-$B$15)*(($B$16*D281/$E$15)+($B$17*E281/$E$17)+($B$18*F281/$E$19)-1))+1,6)</f>
        <v>3.722718</v>
      </c>
      <c r="H281" s="775"/>
    </row>
    <row r="282" spans="1:8" x14ac:dyDescent="0.25">
      <c r="A282" s="793">
        <v>261</v>
      </c>
      <c r="B282" s="7" t="s">
        <v>300</v>
      </c>
      <c r="C282" s="137">
        <v>2020</v>
      </c>
      <c r="D282" s="556">
        <v>85.194905763261474</v>
      </c>
      <c r="E282" s="374">
        <v>129.4</v>
      </c>
      <c r="F282" s="801">
        <v>51.1</v>
      </c>
      <c r="G282" s="368">
        <f t="shared" si="9"/>
        <v>3.7448920000000001</v>
      </c>
      <c r="H282" s="775"/>
    </row>
    <row r="283" spans="1:8" x14ac:dyDescent="0.25">
      <c r="A283" s="793">
        <v>262</v>
      </c>
      <c r="B283" s="7" t="s">
        <v>289</v>
      </c>
      <c r="C283" s="137">
        <v>2020</v>
      </c>
      <c r="D283" s="556">
        <v>85.194905763261474</v>
      </c>
      <c r="E283" s="374">
        <v>129.4</v>
      </c>
      <c r="F283" s="801">
        <v>59</v>
      </c>
      <c r="G283" s="368">
        <f t="shared" si="9"/>
        <v>3.9395289999999998</v>
      </c>
      <c r="H283" s="775"/>
    </row>
    <row r="284" spans="1:8" x14ac:dyDescent="0.25">
      <c r="A284" s="793">
        <v>263</v>
      </c>
      <c r="B284" s="7" t="s">
        <v>290</v>
      </c>
      <c r="C284" s="137">
        <v>2020</v>
      </c>
      <c r="D284" s="556">
        <v>85.194905763261474</v>
      </c>
      <c r="E284" s="374">
        <v>129.4</v>
      </c>
      <c r="F284" s="801">
        <v>61.1</v>
      </c>
      <c r="G284" s="368">
        <f t="shared" si="9"/>
        <v>3.9912679999999998</v>
      </c>
      <c r="H284" s="775"/>
    </row>
    <row r="285" spans="1:8" x14ac:dyDescent="0.25">
      <c r="A285" s="793">
        <v>264</v>
      </c>
      <c r="B285" s="7" t="s">
        <v>291</v>
      </c>
      <c r="C285" s="137">
        <v>2020</v>
      </c>
      <c r="D285" s="556">
        <v>85.194905763261474</v>
      </c>
      <c r="E285" s="374">
        <v>129.4</v>
      </c>
      <c r="F285" s="801">
        <v>60.1</v>
      </c>
      <c r="G285" s="368">
        <f t="shared" si="9"/>
        <v>3.966631</v>
      </c>
      <c r="H285" s="775"/>
    </row>
    <row r="286" spans="1:8" x14ac:dyDescent="0.25">
      <c r="A286" s="793">
        <v>265</v>
      </c>
      <c r="B286" s="791" t="s">
        <v>292</v>
      </c>
      <c r="C286" s="137">
        <v>2020</v>
      </c>
      <c r="D286" s="556">
        <v>85.194905763261474</v>
      </c>
      <c r="E286" s="374">
        <v>129.4</v>
      </c>
      <c r="F286" s="801">
        <v>55.9</v>
      </c>
      <c r="G286" s="368">
        <f t="shared" si="9"/>
        <v>3.8631519999999999</v>
      </c>
      <c r="H286" s="775"/>
    </row>
    <row r="287" spans="1:8" x14ac:dyDescent="0.25">
      <c r="A287" s="793">
        <v>266</v>
      </c>
      <c r="B287" s="791" t="s">
        <v>293</v>
      </c>
      <c r="C287" s="137">
        <v>2020</v>
      </c>
      <c r="D287" s="556">
        <v>85.194905763261474</v>
      </c>
      <c r="E287" s="374">
        <v>129.4</v>
      </c>
      <c r="F287" s="801">
        <v>55.4</v>
      </c>
      <c r="G287" s="368">
        <f t="shared" si="9"/>
        <v>3.8508339999999999</v>
      </c>
      <c r="H287" s="775"/>
    </row>
    <row r="288" spans="1:8" x14ac:dyDescent="0.25">
      <c r="A288" s="793">
        <v>267</v>
      </c>
      <c r="B288" s="7" t="s">
        <v>294</v>
      </c>
      <c r="C288" s="137">
        <v>2020</v>
      </c>
      <c r="D288" s="556">
        <v>85.194905763261474</v>
      </c>
      <c r="E288" s="374">
        <v>129.4</v>
      </c>
      <c r="F288" s="801">
        <v>56.3</v>
      </c>
      <c r="G288" s="368">
        <f t="shared" si="9"/>
        <v>3.873008</v>
      </c>
      <c r="H288" s="775"/>
    </row>
    <row r="289" spans="1:8" x14ac:dyDescent="0.25">
      <c r="A289" s="793">
        <v>268</v>
      </c>
      <c r="B289" s="7" t="s">
        <v>295</v>
      </c>
      <c r="C289" s="137">
        <v>2021</v>
      </c>
      <c r="D289" s="556">
        <v>85.194905763261474</v>
      </c>
      <c r="E289" s="374">
        <v>129.4</v>
      </c>
      <c r="F289" s="801">
        <v>58.8</v>
      </c>
      <c r="G289" s="368">
        <f t="shared" si="9"/>
        <v>3.9346019999999999</v>
      </c>
      <c r="H289" s="775"/>
    </row>
    <row r="290" spans="1:8" x14ac:dyDescent="0.25">
      <c r="A290" s="793">
        <v>269</v>
      </c>
      <c r="B290" s="7" t="s">
        <v>296</v>
      </c>
      <c r="C290" s="137">
        <v>2021</v>
      </c>
      <c r="D290" s="556">
        <v>85.194905763261474</v>
      </c>
      <c r="E290" s="374">
        <v>129.4</v>
      </c>
      <c r="F290" s="801">
        <v>61.5</v>
      </c>
      <c r="G290" s="368">
        <f t="shared" ref="G290" si="10">ROUND(((1-$B$15)*(($B$16*D290/$E$15)+($B$17*E290/$E$17)+($B$18*F290/$E$19)-1))+1,6)</f>
        <v>4.0011229999999998</v>
      </c>
      <c r="H290" s="775"/>
    </row>
    <row r="291" spans="1:8" x14ac:dyDescent="0.25">
      <c r="A291" s="793">
        <v>270</v>
      </c>
      <c r="B291" s="791" t="s">
        <v>297</v>
      </c>
      <c r="C291" s="137">
        <v>2021</v>
      </c>
      <c r="D291" s="556">
        <v>85.194905763261474</v>
      </c>
      <c r="E291" s="374">
        <v>129.4</v>
      </c>
      <c r="F291" s="801">
        <v>64.099999999999994</v>
      </c>
      <c r="G291" s="368">
        <f t="shared" ref="G291" si="11">ROUND(((1-$B$15)*(($B$16*D291/$E$15)+($B$17*E291/$E$17)+($B$18*F291/$E$19)-1))+1,6)</f>
        <v>4.0651809999999999</v>
      </c>
      <c r="H291" s="775"/>
    </row>
    <row r="292" spans="1:8" x14ac:dyDescent="0.25">
      <c r="A292" s="793">
        <v>271</v>
      </c>
      <c r="B292" s="791" t="s">
        <v>298</v>
      </c>
      <c r="C292" s="137">
        <v>2021</v>
      </c>
      <c r="D292" s="556">
        <v>85.194905763261474</v>
      </c>
      <c r="E292" s="374">
        <v>129.4</v>
      </c>
      <c r="F292" s="801">
        <v>67</v>
      </c>
      <c r="G292" s="368">
        <f t="shared" ref="G292:G302" si="12">ROUND(((1-$B$15)*(($B$16*D292/$E$15)+($B$17*E292/$E$17)+($B$18*F292/$E$19)-1))+1,6)</f>
        <v>4.1366310000000004</v>
      </c>
      <c r="H292" s="775"/>
    </row>
    <row r="293" spans="1:8" x14ac:dyDescent="0.25">
      <c r="A293" s="793">
        <v>272</v>
      </c>
      <c r="B293" s="812" t="s">
        <v>299</v>
      </c>
      <c r="C293" s="137">
        <v>2021</v>
      </c>
      <c r="D293" s="556">
        <v>85.194905763261474</v>
      </c>
      <c r="E293" s="374">
        <v>129.4</v>
      </c>
      <c r="F293" s="801">
        <v>65.599999999999994</v>
      </c>
      <c r="G293" s="368">
        <f t="shared" si="12"/>
        <v>4.1021380000000001</v>
      </c>
      <c r="H293" s="775"/>
    </row>
    <row r="294" spans="1:8" x14ac:dyDescent="0.25">
      <c r="A294" s="793">
        <v>273</v>
      </c>
      <c r="B294" s="812" t="s">
        <v>300</v>
      </c>
      <c r="C294" s="137">
        <v>2021</v>
      </c>
      <c r="D294" s="556">
        <v>85.194905763261474</v>
      </c>
      <c r="E294" s="374">
        <v>129.4</v>
      </c>
      <c r="F294" s="801">
        <v>66.599999999999994</v>
      </c>
      <c r="G294" s="368">
        <f t="shared" si="12"/>
        <v>4.1267760000000004</v>
      </c>
      <c r="H294" s="775"/>
    </row>
    <row r="295" spans="1:8" x14ac:dyDescent="0.25">
      <c r="A295" s="793">
        <v>274</v>
      </c>
      <c r="B295" s="812" t="s">
        <v>289</v>
      </c>
      <c r="C295" s="137">
        <v>2021</v>
      </c>
      <c r="D295" s="556">
        <v>89.868829362519776</v>
      </c>
      <c r="E295" s="374">
        <v>129.4</v>
      </c>
      <c r="F295" s="801">
        <v>68.7</v>
      </c>
      <c r="G295" s="368">
        <f t="shared" si="12"/>
        <v>4.2516990000000003</v>
      </c>
      <c r="H295" s="775"/>
    </row>
    <row r="296" spans="1:8" x14ac:dyDescent="0.25">
      <c r="A296" s="793">
        <v>275</v>
      </c>
      <c r="B296" s="813" t="s">
        <v>290</v>
      </c>
      <c r="C296" s="814">
        <v>2021</v>
      </c>
      <c r="D296" s="556">
        <v>89.868829362519776</v>
      </c>
      <c r="E296" s="815">
        <v>129.4</v>
      </c>
      <c r="F296" s="801">
        <v>71.2</v>
      </c>
      <c r="G296" s="368">
        <f t="shared" si="12"/>
        <v>4.3132929999999998</v>
      </c>
      <c r="H296" s="775"/>
    </row>
    <row r="297" spans="1:8" x14ac:dyDescent="0.25">
      <c r="A297" s="793">
        <v>276</v>
      </c>
      <c r="B297" s="813" t="s">
        <v>291</v>
      </c>
      <c r="C297" s="814">
        <v>2021</v>
      </c>
      <c r="D297" s="815">
        <v>89.868829362519776</v>
      </c>
      <c r="E297" s="815">
        <v>129.4</v>
      </c>
      <c r="F297" s="816">
        <v>70.599999999999994</v>
      </c>
      <c r="G297" s="368">
        <f t="shared" si="12"/>
        <v>4.2985100000000003</v>
      </c>
      <c r="H297" s="775"/>
    </row>
    <row r="298" spans="1:8" x14ac:dyDescent="0.25">
      <c r="A298" s="793">
        <v>277</v>
      </c>
      <c r="B298" s="813" t="s">
        <v>292</v>
      </c>
      <c r="C298" s="814">
        <v>2021</v>
      </c>
      <c r="D298" s="815">
        <v>89.868829362519776</v>
      </c>
      <c r="E298" s="815">
        <v>129.4</v>
      </c>
      <c r="F298" s="816">
        <v>71.599999999999994</v>
      </c>
      <c r="G298" s="368">
        <f t="shared" si="12"/>
        <v>4.3231479999999998</v>
      </c>
      <c r="H298" s="775"/>
    </row>
    <row r="299" spans="1:8" x14ac:dyDescent="0.25">
      <c r="A299" s="793">
        <v>278</v>
      </c>
      <c r="B299" s="813" t="s">
        <v>293</v>
      </c>
      <c r="C299" s="814">
        <v>2021</v>
      </c>
      <c r="D299" s="815">
        <v>89.868829362519776</v>
      </c>
      <c r="E299" s="815">
        <v>129.4</v>
      </c>
      <c r="F299" s="816">
        <v>78.5</v>
      </c>
      <c r="G299" s="368">
        <f t="shared" si="12"/>
        <v>4.4931479999999997</v>
      </c>
      <c r="H299" s="775"/>
    </row>
    <row r="300" spans="1:8" x14ac:dyDescent="0.25">
      <c r="A300" s="793">
        <v>279</v>
      </c>
      <c r="B300" s="813" t="s">
        <v>294</v>
      </c>
      <c r="C300" s="814">
        <v>2021</v>
      </c>
      <c r="D300" s="815">
        <v>89.868829362519776</v>
      </c>
      <c r="E300" s="815">
        <v>129.4</v>
      </c>
      <c r="F300" s="816">
        <v>81.900000000000006</v>
      </c>
      <c r="G300" s="368">
        <f t="shared" si="12"/>
        <v>4.5769159999999998</v>
      </c>
      <c r="H300" s="775"/>
    </row>
    <row r="301" spans="1:8" x14ac:dyDescent="0.25">
      <c r="A301" s="793">
        <v>280</v>
      </c>
      <c r="B301" s="813" t="s">
        <v>295</v>
      </c>
      <c r="C301" s="814">
        <v>2022</v>
      </c>
      <c r="D301" s="815">
        <v>89.868829362519776</v>
      </c>
      <c r="E301" s="815">
        <v>129.4</v>
      </c>
      <c r="F301" s="816">
        <v>78.7</v>
      </c>
      <c r="G301" s="368">
        <f t="shared" si="12"/>
        <v>4.498075</v>
      </c>
      <c r="H301" s="775"/>
    </row>
    <row r="302" spans="1:8" x14ac:dyDescent="0.25">
      <c r="A302" s="793">
        <v>281</v>
      </c>
      <c r="B302" s="813" t="s">
        <v>296</v>
      </c>
      <c r="C302" s="814">
        <v>2022</v>
      </c>
      <c r="D302" s="815">
        <v>89.868829362519776</v>
      </c>
      <c r="E302" s="815">
        <v>129.4</v>
      </c>
      <c r="F302" s="816">
        <v>82.4</v>
      </c>
      <c r="G302" s="368">
        <f t="shared" si="12"/>
        <v>4.5892350000000004</v>
      </c>
      <c r="H302" s="775"/>
    </row>
    <row r="303" spans="1:8" x14ac:dyDescent="0.25">
      <c r="A303" s="793">
        <v>282</v>
      </c>
      <c r="B303" s="813" t="s">
        <v>297</v>
      </c>
      <c r="C303" s="814">
        <v>2022</v>
      </c>
      <c r="D303" s="815">
        <v>89.868829362519776</v>
      </c>
      <c r="E303" s="815">
        <v>129.4</v>
      </c>
      <c r="F303" s="816">
        <v>89.2</v>
      </c>
      <c r="G303" s="368">
        <f t="shared" ref="G303" si="13">ROUND(((1-$B$15)*(($B$16*D303/$E$15)+($B$17*E303/$E$17)+($B$18*F303/$E$19)-1))+1,6)</f>
        <v>4.7567709999999996</v>
      </c>
      <c r="H303" s="775"/>
    </row>
    <row r="304" spans="1:8" x14ac:dyDescent="0.25">
      <c r="A304" s="793">
        <v>283</v>
      </c>
      <c r="B304" s="813" t="s">
        <v>298</v>
      </c>
      <c r="C304" s="814">
        <v>2022</v>
      </c>
      <c r="D304" s="815">
        <v>89.868829362519776</v>
      </c>
      <c r="E304" s="815">
        <v>129.4</v>
      </c>
      <c r="F304" s="816">
        <v>96.7</v>
      </c>
      <c r="G304" s="368">
        <f t="shared" ref="G304" si="14">ROUND(((1-$B$15)*(($B$16*D304/$E$15)+($B$17*E304/$E$17)+($B$18*F304/$E$19)-1))+1,6)</f>
        <v>4.941554</v>
      </c>
      <c r="H304" s="775"/>
    </row>
    <row r="305" spans="1:8" x14ac:dyDescent="0.25">
      <c r="A305" s="793">
        <v>284</v>
      </c>
      <c r="B305" s="813" t="s">
        <v>299</v>
      </c>
      <c r="C305" s="814">
        <v>2022</v>
      </c>
      <c r="D305" s="815">
        <v>89.868829362519776</v>
      </c>
      <c r="E305" s="815">
        <v>129.4</v>
      </c>
      <c r="F305" s="816">
        <v>101</v>
      </c>
      <c r="G305" s="368">
        <f t="shared" ref="G305" si="15">ROUND(((1-$B$15)*(($B$16*D305/$E$15)+($B$17*E305/$E$17)+($B$18*F305/$E$19)-1))+1,6)</f>
        <v>5.0474959999999998</v>
      </c>
      <c r="H305" s="775"/>
    </row>
    <row r="306" spans="1:8" x14ac:dyDescent="0.25">
      <c r="A306" s="793">
        <v>285</v>
      </c>
      <c r="B306" s="813" t="s">
        <v>300</v>
      </c>
      <c r="C306" s="814">
        <v>2022</v>
      </c>
      <c r="D306" s="815">
        <v>89.868829362519776</v>
      </c>
      <c r="E306" s="815">
        <v>129.4</v>
      </c>
      <c r="F306" s="816">
        <v>106</v>
      </c>
      <c r="G306" s="368">
        <f t="shared" ref="G306:G308" si="16">ROUND(((1-$B$15)*(($B$16*D306/$E$15)+($B$17*E306/$E$17)+($B$18*F306/$E$19)-1))+1,6)</f>
        <v>5.1706839999999996</v>
      </c>
      <c r="H306" s="775"/>
    </row>
    <row r="307" spans="1:8" x14ac:dyDescent="0.25">
      <c r="A307" s="793">
        <v>286</v>
      </c>
      <c r="B307" s="813" t="s">
        <v>289</v>
      </c>
      <c r="C307" s="814">
        <v>2022</v>
      </c>
      <c r="D307" s="815">
        <v>94.799171601085092</v>
      </c>
      <c r="E307" s="815">
        <v>129.4</v>
      </c>
      <c r="F307" s="816">
        <v>116.7</v>
      </c>
      <c r="G307" s="368">
        <f t="shared" si="16"/>
        <v>5.5115059999999998</v>
      </c>
      <c r="H307" s="775"/>
    </row>
    <row r="308" spans="1:8" x14ac:dyDescent="0.25">
      <c r="A308" s="793">
        <v>287</v>
      </c>
      <c r="B308" s="813" t="s">
        <v>290</v>
      </c>
      <c r="C308" s="814">
        <v>2022</v>
      </c>
      <c r="D308" s="815">
        <v>94.799171601085092</v>
      </c>
      <c r="E308" s="815">
        <v>129.4</v>
      </c>
      <c r="F308" s="816">
        <v>112.6</v>
      </c>
      <c r="G308" s="368">
        <f t="shared" si="16"/>
        <v>5.4104919999999996</v>
      </c>
      <c r="H308" s="775"/>
    </row>
    <row r="309" spans="1:8" x14ac:dyDescent="0.25">
      <c r="A309" s="793">
        <v>288</v>
      </c>
      <c r="B309" s="813" t="s">
        <v>291</v>
      </c>
      <c r="C309" s="814">
        <v>2022</v>
      </c>
      <c r="D309" s="815">
        <v>94.799171601085092</v>
      </c>
      <c r="E309" s="815">
        <v>129.4</v>
      </c>
      <c r="F309" s="816">
        <v>110.2</v>
      </c>
      <c r="G309" s="368">
        <f t="shared" ref="G309:G312" si="17">ROUND(((1-$B$15)*(($B$16*D309/$E$15)+($B$17*E309/$E$17)+($B$18*F309/$E$19)-1))+1,6)</f>
        <v>5.3513609999999998</v>
      </c>
      <c r="H309" s="775"/>
    </row>
    <row r="310" spans="1:8" x14ac:dyDescent="0.25">
      <c r="A310" s="793">
        <v>289</v>
      </c>
      <c r="B310" s="813" t="s">
        <v>292</v>
      </c>
      <c r="C310" s="814">
        <v>2022</v>
      </c>
      <c r="D310" s="815">
        <v>94.799171601085092</v>
      </c>
      <c r="E310" s="815">
        <v>129.4</v>
      </c>
      <c r="F310" s="816">
        <v>110.8</v>
      </c>
      <c r="G310" s="368">
        <f t="shared" si="17"/>
        <v>5.3661440000000002</v>
      </c>
      <c r="H310" s="775"/>
    </row>
    <row r="311" spans="1:8" x14ac:dyDescent="0.25">
      <c r="A311" s="793">
        <v>290</v>
      </c>
      <c r="B311" s="813" t="s">
        <v>293</v>
      </c>
      <c r="C311" s="814">
        <v>2022</v>
      </c>
      <c r="D311" s="815">
        <v>94.799171601085092</v>
      </c>
      <c r="E311" s="815">
        <v>129.4</v>
      </c>
      <c r="F311" s="816">
        <v>117.5</v>
      </c>
      <c r="G311" s="368">
        <f t="shared" si="17"/>
        <v>5.5312159999999997</v>
      </c>
      <c r="H311" s="775"/>
    </row>
    <row r="312" spans="1:8" x14ac:dyDescent="0.25">
      <c r="A312" s="793">
        <v>291</v>
      </c>
      <c r="B312" s="813" t="s">
        <v>294</v>
      </c>
      <c r="C312" s="814">
        <v>2022</v>
      </c>
      <c r="D312" s="815">
        <v>94.799171601085092</v>
      </c>
      <c r="E312" s="815">
        <v>129.4</v>
      </c>
      <c r="F312" s="816">
        <v>110.2</v>
      </c>
      <c r="G312" s="368">
        <f t="shared" si="17"/>
        <v>5.3513609999999998</v>
      </c>
      <c r="H312" s="775"/>
    </row>
    <row r="313" spans="1:8" x14ac:dyDescent="0.25">
      <c r="A313" s="793">
        <v>292</v>
      </c>
      <c r="B313" s="813" t="s">
        <v>295</v>
      </c>
      <c r="C313" s="814">
        <v>2023</v>
      </c>
      <c r="D313" s="815">
        <v>94.799171601085092</v>
      </c>
      <c r="E313" s="815">
        <v>129.4</v>
      </c>
      <c r="F313" s="816">
        <v>97.5</v>
      </c>
      <c r="G313" s="368">
        <f t="shared" ref="G313:G314" si="18">ROUND(((1-$B$15)*(($B$16*D313/$E$15)+($B$17*E313/$E$17)+($B$18*F313/$E$19)-1))+1,6)</f>
        <v>5.0384630000000001</v>
      </c>
      <c r="H313" s="775"/>
    </row>
    <row r="314" spans="1:8" x14ac:dyDescent="0.25">
      <c r="A314" s="793">
        <v>293</v>
      </c>
      <c r="B314" s="813" t="s">
        <v>296</v>
      </c>
      <c r="C314" s="814">
        <v>2023</v>
      </c>
      <c r="D314" s="815">
        <v>94.799171601085092</v>
      </c>
      <c r="E314" s="815">
        <v>129.4</v>
      </c>
      <c r="F314" s="816">
        <v>97.7</v>
      </c>
      <c r="G314" s="368">
        <f t="shared" si="18"/>
        <v>5.0433899999999996</v>
      </c>
      <c r="H314" s="775"/>
    </row>
    <row r="315" spans="1:8" x14ac:dyDescent="0.25">
      <c r="A315" s="793">
        <v>294</v>
      </c>
      <c r="B315" s="813" t="s">
        <v>297</v>
      </c>
      <c r="C315" s="814">
        <v>2023</v>
      </c>
      <c r="D315" s="815">
        <v>94.799171601085092</v>
      </c>
      <c r="E315" s="815">
        <v>129.4</v>
      </c>
      <c r="F315" s="816">
        <v>99.1</v>
      </c>
      <c r="G315" s="368">
        <f t="shared" ref="G315:G318" si="19">ROUND(((1-$B$15)*(($B$16*D315/$E$15)+($B$17*E315/$E$17)+($B$18*F315/$E$19)-1))+1,6)</f>
        <v>5.0778829999999999</v>
      </c>
      <c r="H315" s="775"/>
    </row>
    <row r="316" spans="1:8" x14ac:dyDescent="0.25">
      <c r="A316" s="793">
        <v>295</v>
      </c>
      <c r="B316" s="813" t="s">
        <v>298</v>
      </c>
      <c r="C316" s="814">
        <v>2023</v>
      </c>
      <c r="D316" s="815">
        <v>94.799171601085092</v>
      </c>
      <c r="E316" s="815">
        <v>129.4</v>
      </c>
      <c r="F316" s="816">
        <v>95.5</v>
      </c>
      <c r="G316" s="368">
        <f t="shared" si="19"/>
        <v>4.9891870000000003</v>
      </c>
      <c r="H316" s="775"/>
    </row>
    <row r="317" spans="1:8" x14ac:dyDescent="0.25">
      <c r="A317" s="793">
        <v>296</v>
      </c>
      <c r="B317" s="813" t="s">
        <v>299</v>
      </c>
      <c r="C317" s="814">
        <v>2023</v>
      </c>
      <c r="D317" s="815">
        <v>94.799171601085092</v>
      </c>
      <c r="E317" s="815">
        <v>129.4</v>
      </c>
      <c r="F317" s="816">
        <v>92.7</v>
      </c>
      <c r="G317" s="368">
        <f t="shared" si="19"/>
        <v>4.9202019999999997</v>
      </c>
      <c r="H317" s="775"/>
    </row>
    <row r="318" spans="1:8" x14ac:dyDescent="0.25">
      <c r="A318" s="793">
        <v>297</v>
      </c>
      <c r="B318" s="813" t="s">
        <v>300</v>
      </c>
      <c r="C318" s="814">
        <v>2023</v>
      </c>
      <c r="D318" s="815">
        <v>100</v>
      </c>
      <c r="E318" s="815">
        <v>129.4</v>
      </c>
      <c r="F318" s="816">
        <v>88.9</v>
      </c>
      <c r="G318" s="368">
        <f t="shared" si="19"/>
        <v>4.9080130000000004</v>
      </c>
      <c r="H318" s="775"/>
    </row>
    <row r="319" spans="1:8" x14ac:dyDescent="0.25">
      <c r="A319" s="793">
        <v>298</v>
      </c>
      <c r="B319" s="813" t="s">
        <v>289</v>
      </c>
      <c r="C319" s="814">
        <v>2023</v>
      </c>
      <c r="D319" s="815">
        <v>100</v>
      </c>
      <c r="E319" s="815">
        <v>129.4</v>
      </c>
      <c r="F319" s="816">
        <v>89.6</v>
      </c>
      <c r="G319" s="368">
        <f t="shared" ref="G319" si="20">ROUND(((1-$B$15)*(($B$16*D319/$E$15)+($B$17*E319/$E$17)+($B$18*F319/$E$19)-1))+1,6)</f>
        <v>4.9252589999999996</v>
      </c>
      <c r="H319" s="775"/>
    </row>
    <row r="320" spans="1:8" x14ac:dyDescent="0.25">
      <c r="A320" s="793">
        <v>299</v>
      </c>
      <c r="B320" s="813" t="s">
        <v>290</v>
      </c>
      <c r="C320" s="814">
        <v>2023</v>
      </c>
      <c r="D320" s="815">
        <v>100</v>
      </c>
      <c r="E320" s="815">
        <v>129.4</v>
      </c>
      <c r="F320" s="816">
        <v>92.9</v>
      </c>
      <c r="G320" s="368">
        <f t="shared" ref="G320" si="21">ROUND(((1-$B$15)*(($B$16*D320/$E$15)+($B$17*E320/$E$17)+($B$18*F320/$E$19)-1))+1,6)</f>
        <v>5.0065629999999999</v>
      </c>
      <c r="H320" s="775"/>
    </row>
    <row r="321" spans="1:8" x14ac:dyDescent="0.25">
      <c r="A321" s="793">
        <v>300</v>
      </c>
      <c r="B321" s="813" t="s">
        <v>291</v>
      </c>
      <c r="C321" s="814">
        <v>2023</v>
      </c>
      <c r="D321" s="815">
        <v>100</v>
      </c>
      <c r="E321" s="815">
        <v>129.4</v>
      </c>
      <c r="F321" s="816">
        <v>105.9</v>
      </c>
      <c r="G321" s="368">
        <f t="shared" ref="G321" si="22">ROUND(((1-$B$15)*(($B$16*D321/$E$15)+($B$17*E321/$E$17)+($B$18*F321/$E$19)-1))+1,6)</f>
        <v>5.3268529999999998</v>
      </c>
      <c r="H321" s="775"/>
    </row>
    <row r="322" spans="1:8" x14ac:dyDescent="0.25">
      <c r="A322" s="793">
        <v>301</v>
      </c>
      <c r="B322" s="813" t="s">
        <v>292</v>
      </c>
      <c r="C322" s="814">
        <v>2023</v>
      </c>
      <c r="D322" s="815">
        <v>100</v>
      </c>
      <c r="E322" s="815">
        <v>129.4</v>
      </c>
      <c r="F322" s="816">
        <v>115</v>
      </c>
      <c r="G322" s="368">
        <f t="shared" ref="G322" si="23">ROUND(((1-$B$15)*(($B$16*D322/$E$15)+($B$17*E322/$E$17)+($B$18*F322/$E$19)-1))+1,6)</f>
        <v>5.551056</v>
      </c>
      <c r="H322" s="775"/>
    </row>
    <row r="323" spans="1:8" x14ac:dyDescent="0.25">
      <c r="A323" s="793">
        <v>302</v>
      </c>
      <c r="B323" s="813" t="s">
        <v>293</v>
      </c>
      <c r="C323" s="814">
        <v>2023</v>
      </c>
      <c r="D323" s="815">
        <v>100</v>
      </c>
      <c r="E323" s="815">
        <v>129.4</v>
      </c>
      <c r="F323" s="816">
        <v>111.1</v>
      </c>
      <c r="G323" s="368">
        <f t="shared" ref="G323" si="24">ROUND(((1-$B$15)*(($B$16*D323/$E$15)+($B$17*E323/$E$17)+($B$18*F323/$E$19)-1))+1,6)</f>
        <v>5.4549690000000002</v>
      </c>
      <c r="H323" s="775"/>
    </row>
    <row r="324" spans="1:8" x14ac:dyDescent="0.25">
      <c r="A324" s="793">
        <v>303</v>
      </c>
      <c r="B324" s="813" t="s">
        <v>294</v>
      </c>
      <c r="C324" s="814">
        <v>2023</v>
      </c>
      <c r="D324" s="815">
        <v>100</v>
      </c>
      <c r="E324" s="815">
        <v>129.4</v>
      </c>
      <c r="F324" s="816">
        <v>100</v>
      </c>
      <c r="G324" s="368">
        <f t="shared" ref="G324" si="25">ROUND(((1-$B$15)*(($B$16*D324/$E$15)+($B$17*E324/$E$17)+($B$18*F324/$E$19)-1))+1,6)</f>
        <v>5.1814910000000003</v>
      </c>
      <c r="H324" s="775"/>
    </row>
    <row r="325" spans="1:8" x14ac:dyDescent="0.25">
      <c r="A325" s="793">
        <v>304</v>
      </c>
      <c r="B325" s="813" t="s">
        <v>295</v>
      </c>
      <c r="C325" s="814">
        <v>2024</v>
      </c>
      <c r="D325" s="815">
        <v>100</v>
      </c>
      <c r="E325" s="815">
        <v>129.4</v>
      </c>
      <c r="F325" s="816">
        <v>94.3</v>
      </c>
      <c r="G325" s="368">
        <f t="shared" ref="G325" si="26">ROUND(((1-$B$15)*(($B$16*D325/$E$15)+($B$17*E325/$E$17)+($B$18*F325/$E$19)-1))+1,6)</f>
        <v>5.0410560000000002</v>
      </c>
      <c r="H325" s="775"/>
    </row>
    <row r="326" spans="1:8" x14ac:dyDescent="0.25">
      <c r="A326" s="793">
        <v>305</v>
      </c>
      <c r="B326" s="813" t="s">
        <v>296</v>
      </c>
      <c r="C326" s="814">
        <v>2024</v>
      </c>
      <c r="D326" s="815">
        <v>100</v>
      </c>
      <c r="E326" s="815">
        <v>129.4</v>
      </c>
      <c r="F326" s="816">
        <v>97.6</v>
      </c>
      <c r="G326" s="368">
        <f t="shared" ref="G326" si="27">ROUND(((1-$B$15)*(($B$16*D326/$E$15)+($B$17*E326/$E$17)+($B$18*F326/$E$19)-1))+1,6)</f>
        <v>5.1223599999999996</v>
      </c>
      <c r="H326" s="775"/>
    </row>
    <row r="327" spans="1:8" x14ac:dyDescent="0.25">
      <c r="A327" s="793">
        <v>306</v>
      </c>
      <c r="B327" s="813" t="s">
        <v>297</v>
      </c>
      <c r="C327" s="814">
        <v>2024</v>
      </c>
      <c r="D327" s="815">
        <v>100</v>
      </c>
      <c r="E327" s="815">
        <v>129.4</v>
      </c>
      <c r="F327" s="816">
        <v>102.9</v>
      </c>
      <c r="G327" s="368">
        <f t="shared" ref="G327" si="28">ROUND(((1-$B$15)*(($B$16*D327/$E$15)+($B$17*E327/$E$17)+($B$18*F327/$E$19)-1))+1,6)</f>
        <v>5.2529399999999997</v>
      </c>
      <c r="H327" s="775"/>
    </row>
    <row r="328" spans="1:8" x14ac:dyDescent="0.25">
      <c r="A328" s="793">
        <v>307</v>
      </c>
      <c r="B328" s="813" t="s">
        <v>298</v>
      </c>
      <c r="C328" s="814">
        <v>2024</v>
      </c>
      <c r="D328" s="815">
        <v>99.999999999999986</v>
      </c>
      <c r="E328" s="815">
        <v>129.4</v>
      </c>
      <c r="F328" s="816">
        <v>102.7</v>
      </c>
      <c r="G328" s="368">
        <f t="shared" ref="G328" si="29">ROUND(((1-$B$15)*(($B$16*D328/$E$15)+($B$17*E328/$E$17)+($B$18*F328/$E$19)-1))+1,6)</f>
        <v>5.2480130000000003</v>
      </c>
      <c r="H328" s="775"/>
    </row>
    <row r="329" spans="1:8" x14ac:dyDescent="0.25">
      <c r="A329" s="793">
        <v>308</v>
      </c>
      <c r="B329" s="813" t="s">
        <v>299</v>
      </c>
      <c r="C329" s="814">
        <v>2024</v>
      </c>
      <c r="D329" s="815">
        <v>99.999999999999986</v>
      </c>
      <c r="E329" s="815">
        <v>129.4</v>
      </c>
      <c r="F329" s="816">
        <v>101.2</v>
      </c>
      <c r="G329" s="368">
        <f t="shared" ref="G329" si="30">ROUND(((1-$B$15)*(($B$16*D329/$E$15)+($B$17*E329/$E$17)+($B$18*F329/$E$19)-1))+1,6)</f>
        <v>5.2110560000000001</v>
      </c>
      <c r="H329" s="775"/>
    </row>
    <row r="330" spans="1:8" x14ac:dyDescent="0.25">
      <c r="A330" s="793">
        <v>309</v>
      </c>
      <c r="B330" s="813" t="s">
        <v>300</v>
      </c>
      <c r="C330" s="814">
        <v>2024</v>
      </c>
      <c r="D330" s="815">
        <v>99.999999999999986</v>
      </c>
      <c r="E330" s="815">
        <v>129.4</v>
      </c>
      <c r="F330" s="816">
        <v>95.9</v>
      </c>
      <c r="G330" s="368">
        <f t="shared" ref="G330" si="31">ROUND(((1-$B$15)*(($B$16*D330/$E$15)+($B$17*E330/$E$17)+($B$18*F330/$E$19)-1))+1,6)</f>
        <v>5.080476</v>
      </c>
      <c r="H330" s="775"/>
    </row>
    <row r="331" spans="1:8" x14ac:dyDescent="0.25">
      <c r="A331" s="793">
        <v>310</v>
      </c>
      <c r="B331" s="813" t="s">
        <v>289</v>
      </c>
      <c r="C331" s="814">
        <v>2024</v>
      </c>
      <c r="D331" s="815">
        <v>106.5</v>
      </c>
      <c r="E331" s="815">
        <v>129.4</v>
      </c>
      <c r="F331" s="816">
        <v>94.6</v>
      </c>
      <c r="G331" s="368">
        <f t="shared" ref="G331" si="32">ROUND(((1-$B$15)*(($B$16*D331/$E$15)+($B$17*E331/$E$17)+($B$18*F331/$E$19)-1))+1,6)</f>
        <v>5.1502239999999997</v>
      </c>
      <c r="H331" s="775"/>
    </row>
    <row r="332" spans="1:8" x14ac:dyDescent="0.25">
      <c r="A332" s="793">
        <v>311</v>
      </c>
      <c r="B332" s="813" t="s">
        <v>290</v>
      </c>
      <c r="C332" s="814">
        <v>2024</v>
      </c>
      <c r="D332" s="815">
        <v>106.5</v>
      </c>
      <c r="E332" s="815">
        <v>129.4</v>
      </c>
      <c r="F332" s="816">
        <v>93.6</v>
      </c>
      <c r="G332" s="368">
        <f t="shared" ref="G332" si="33">ROUND(((1-$B$15)*(($B$16*D332/$E$15)+($B$17*E332/$E$17)+($B$18*F332/$E$19)-1))+1,6)</f>
        <v>5.1255860000000002</v>
      </c>
      <c r="H332" s="775"/>
    </row>
    <row r="333" spans="1:8" x14ac:dyDescent="0.25">
      <c r="A333" s="793">
        <v>312</v>
      </c>
      <c r="B333" s="813" t="s">
        <v>291</v>
      </c>
      <c r="C333" s="814">
        <v>2024</v>
      </c>
      <c r="D333" s="815">
        <v>106.5</v>
      </c>
      <c r="E333" s="815">
        <v>129.4</v>
      </c>
      <c r="F333" s="816">
        <v>89.3</v>
      </c>
      <c r="G333" s="368">
        <f t="shared" ref="G333" si="34">ROUND(((1-$B$15)*(($B$16*D333/$E$15)+($B$17*E333/$E$17)+($B$18*F333/$E$19)-1))+1,6)</f>
        <v>5.0196440000000004</v>
      </c>
      <c r="H333" s="775"/>
    </row>
    <row r="334" spans="1:8" x14ac:dyDescent="0.25">
      <c r="A334" s="793">
        <v>313</v>
      </c>
      <c r="B334" s="813" t="s">
        <v>292</v>
      </c>
      <c r="C334" s="814">
        <v>2024</v>
      </c>
      <c r="D334" s="815">
        <v>106.5</v>
      </c>
      <c r="E334" s="815">
        <v>129.4</v>
      </c>
      <c r="F334" s="816">
        <v>84.1</v>
      </c>
      <c r="G334" s="368">
        <f t="shared" ref="G334" si="35">ROUND(((1-$B$15)*(($B$16*D334/$E$15)+($B$17*E334/$E$17)+($B$18*F334/$E$19)-1))+1,6)</f>
        <v>4.8915280000000001</v>
      </c>
      <c r="H334" s="775"/>
    </row>
    <row r="335" spans="1:8" x14ac:dyDescent="0.25">
      <c r="A335" s="793">
        <v>314</v>
      </c>
      <c r="B335" s="813" t="s">
        <v>293</v>
      </c>
      <c r="C335" s="814">
        <v>2024</v>
      </c>
      <c r="D335" s="815">
        <v>106.5</v>
      </c>
      <c r="E335" s="815">
        <v>129.4</v>
      </c>
      <c r="F335" s="816">
        <v>85</v>
      </c>
      <c r="G335" s="368">
        <f t="shared" ref="G335" si="36">ROUND(((1-$B$15)*(($B$16*D335/$E$15)+($B$17*E335/$E$17)+($B$18*F335/$E$19)-1))+1,6)</f>
        <v>4.9137019999999998</v>
      </c>
      <c r="H335" s="775"/>
    </row>
    <row r="336" spans="1:8" x14ac:dyDescent="0.25">
      <c r="A336" s="793">
        <v>315</v>
      </c>
      <c r="B336" s="813" t="s">
        <v>294</v>
      </c>
      <c r="C336" s="814">
        <v>2024</v>
      </c>
      <c r="D336" s="815">
        <v>106.5</v>
      </c>
      <c r="E336" s="815">
        <v>129.4</v>
      </c>
      <c r="F336" s="816">
        <v>87.6</v>
      </c>
      <c r="G336" s="368">
        <f t="shared" ref="G336" si="37">ROUND(((1-$B$15)*(($B$16*D336/$E$15)+($B$17*E336/$E$17)+($B$18*F336/$E$19)-1))+1,6)</f>
        <v>4.97776</v>
      </c>
      <c r="H336" s="775"/>
    </row>
    <row r="337" spans="1:8" x14ac:dyDescent="0.25">
      <c r="A337" s="793">
        <v>316</v>
      </c>
      <c r="B337" s="813" t="s">
        <v>295</v>
      </c>
      <c r="C337" s="814">
        <v>2025</v>
      </c>
      <c r="D337" s="815">
        <v>106.5</v>
      </c>
      <c r="E337" s="815">
        <v>129.4</v>
      </c>
      <c r="F337" s="816">
        <v>88</v>
      </c>
      <c r="G337" s="368">
        <f t="shared" ref="G337" si="38">ROUND(((1-$B$15)*(($B$16*D337/$E$15)+($B$17*E337/$E$17)+($B$18*F337/$E$19)-1))+1,6)</f>
        <v>4.9876149999999999</v>
      </c>
      <c r="H337" s="775"/>
    </row>
    <row r="338" spans="1:8" x14ac:dyDescent="0.25">
      <c r="A338" s="793">
        <v>317</v>
      </c>
      <c r="B338" s="813" t="s">
        <v>296</v>
      </c>
      <c r="C338" s="814">
        <v>2025</v>
      </c>
      <c r="D338" s="815">
        <v>106.5</v>
      </c>
      <c r="E338" s="815">
        <v>129.4</v>
      </c>
      <c r="F338" s="816">
        <v>92.8</v>
      </c>
      <c r="G338" s="368">
        <f t="shared" ref="G338" si="39">ROUND(((1-$B$15)*(($B$16*D338/$E$15)+($B$17*E338/$E$17)+($B$18*F338/$E$19)-1))+1,6)</f>
        <v>5.1058760000000003</v>
      </c>
      <c r="H338" s="775"/>
    </row>
    <row r="339" spans="1:8" x14ac:dyDescent="0.25">
      <c r="A339" s="793">
        <v>318</v>
      </c>
      <c r="B339" s="813" t="s">
        <v>297</v>
      </c>
      <c r="C339" s="814">
        <v>2025</v>
      </c>
      <c r="D339" s="815">
        <v>106.5</v>
      </c>
      <c r="E339" s="815">
        <v>129.4</v>
      </c>
      <c r="F339" s="816">
        <v>91.8</v>
      </c>
      <c r="G339" s="368">
        <f t="shared" ref="G339" si="40">ROUND(((1-$B$15)*(($B$16*D339/$E$15)+($B$17*E339/$E$17)+($B$18*F339/$E$19)-1))+1,6)</f>
        <v>5.0812379999999999</v>
      </c>
      <c r="H339" s="775"/>
    </row>
    <row r="340" spans="1:8" x14ac:dyDescent="0.25">
      <c r="A340" s="793">
        <v>319</v>
      </c>
      <c r="B340" s="813" t="s">
        <v>298</v>
      </c>
      <c r="C340" s="814">
        <v>2025</v>
      </c>
      <c r="D340" s="815">
        <v>106.5</v>
      </c>
      <c r="E340" s="815">
        <v>129.4</v>
      </c>
      <c r="F340" s="816">
        <v>87.8</v>
      </c>
      <c r="G340" s="368">
        <f t="shared" ref="G340" si="41">ROUND(((1-$B$15)*(($B$16*D340/$E$15)+($B$17*E340/$E$17)+($B$18*F340/$E$19)-1))+1,6)</f>
        <v>4.9826870000000003</v>
      </c>
      <c r="H340" s="775"/>
    </row>
    <row r="341" spans="1:8" x14ac:dyDescent="0.25">
      <c r="A341" s="793">
        <v>320</v>
      </c>
      <c r="B341" s="813" t="s">
        <v>299</v>
      </c>
      <c r="C341" s="814">
        <v>2025</v>
      </c>
      <c r="D341" s="815">
        <v>106.5</v>
      </c>
      <c r="E341" s="815">
        <v>129.4</v>
      </c>
      <c r="F341" s="836">
        <v>87.8</v>
      </c>
      <c r="G341" s="368">
        <f t="shared" ref="G341" si="42">ROUND(((1-$B$15)*(($B$16*D341/$E$15)+($B$17*E341/$E$17)+($B$18*F341/$E$19)-1))+1,6)</f>
        <v>4.9826870000000003</v>
      </c>
      <c r="H341" s="775"/>
    </row>
    <row r="342" spans="1:8" x14ac:dyDescent="0.25">
      <c r="A342" s="793"/>
      <c r="B342" s="791"/>
      <c r="C342" s="137"/>
      <c r="D342" s="556"/>
      <c r="E342" s="374"/>
      <c r="F342" s="802"/>
      <c r="G342" s="368"/>
      <c r="H342" s="775"/>
    </row>
    <row r="343" spans="1:8" x14ac:dyDescent="0.25">
      <c r="A343" s="161"/>
      <c r="B343" s="792"/>
      <c r="C343" s="444"/>
      <c r="D343" s="442"/>
      <c r="E343" s="162"/>
      <c r="F343" s="162"/>
      <c r="G343" s="138"/>
    </row>
    <row r="344" spans="1:8" x14ac:dyDescent="0.25">
      <c r="A344" s="57" t="s">
        <v>66</v>
      </c>
      <c r="B344" t="s">
        <v>82</v>
      </c>
    </row>
  </sheetData>
  <autoFilter ref="B1:B344" xr:uid="{00000000-0001-0000-0400-000000000000}"/>
  <phoneticPr fontId="5" type="noConversion"/>
  <pageMargins left="0.75" right="0.75" top="1" bottom="1" header="0.5" footer="0.5"/>
  <pageSetup paperSize="9" scale="66" orientation="portrait" horizontalDpi="4294967292" vertic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0"/>
  <sheetViews>
    <sheetView view="pageBreakPreview" topLeftCell="A6" zoomScale="60" zoomScaleNormal="125" workbookViewId="0">
      <selection activeCell="G33" sqref="G33"/>
    </sheetView>
  </sheetViews>
  <sheetFormatPr defaultColWidth="8.81640625" defaultRowHeight="12.5" x14ac:dyDescent="0.25"/>
  <cols>
    <col min="1" max="1" width="2.1796875" customWidth="1"/>
    <col min="2" max="2" width="17.54296875" customWidth="1"/>
    <col min="3" max="3" width="17" customWidth="1"/>
    <col min="4" max="4" width="15.453125" customWidth="1"/>
    <col min="5" max="5" width="16.1796875" customWidth="1"/>
    <col min="6" max="6" width="9.7265625" customWidth="1"/>
    <col min="7" max="7" width="12.1796875" customWidth="1"/>
    <col min="8" max="8" width="23" customWidth="1"/>
    <col min="10" max="10" width="17.54296875" customWidth="1"/>
    <col min="11" max="11" width="11.26953125" style="101" customWidth="1"/>
    <col min="12" max="12" width="9.1796875" style="101" customWidth="1"/>
    <col min="13" max="13" width="10.1796875" style="102" bestFit="1" customWidth="1"/>
    <col min="14" max="14" width="9.1796875" style="101" customWidth="1"/>
    <col min="15" max="15" width="11.453125" style="101" bestFit="1" customWidth="1"/>
    <col min="16" max="16" width="16.81640625" customWidth="1"/>
  </cols>
  <sheetData>
    <row r="1" spans="1:18" x14ac:dyDescent="0.25">
      <c r="A1" s="881" t="s">
        <v>29</v>
      </c>
      <c r="B1" s="881"/>
      <c r="C1" s="881"/>
      <c r="D1" s="881"/>
      <c r="E1" s="881"/>
      <c r="F1" s="881"/>
      <c r="G1" s="881"/>
      <c r="H1" s="881"/>
    </row>
    <row r="2" spans="1:18" x14ac:dyDescent="0.25">
      <c r="A2" s="1"/>
      <c r="B2" s="54" t="s">
        <v>28</v>
      </c>
      <c r="C2" s="14"/>
      <c r="D2" s="14"/>
      <c r="E2" s="14"/>
      <c r="F2" s="14"/>
      <c r="G2" s="14"/>
    </row>
    <row r="3" spans="1:18" x14ac:dyDescent="0.25">
      <c r="A3" s="1"/>
      <c r="B3" s="14"/>
      <c r="C3" s="14"/>
      <c r="D3" s="14"/>
      <c r="E3" s="14"/>
      <c r="F3" s="14"/>
      <c r="G3" s="14"/>
      <c r="H3" s="14"/>
    </row>
    <row r="4" spans="1:18" x14ac:dyDescent="0.25">
      <c r="A4" s="1"/>
      <c r="B4" s="54" t="s">
        <v>30</v>
      </c>
      <c r="C4" s="14"/>
      <c r="D4" s="14"/>
      <c r="E4" s="14"/>
      <c r="F4" s="14"/>
      <c r="G4" s="14"/>
      <c r="H4" s="14"/>
    </row>
    <row r="5" spans="1:18" x14ac:dyDescent="0.25">
      <c r="A5" s="1"/>
      <c r="B5" s="430"/>
      <c r="C5" s="14"/>
      <c r="D5" s="14"/>
      <c r="E5" s="14"/>
      <c r="F5" s="14"/>
      <c r="G5" s="14"/>
      <c r="H5" s="14"/>
    </row>
    <row r="6" spans="1:18" ht="13" x14ac:dyDescent="0.3">
      <c r="A6" s="1"/>
      <c r="B6" s="54" t="s">
        <v>31</v>
      </c>
      <c r="C6" s="879" t="s">
        <v>248</v>
      </c>
      <c r="D6" s="880"/>
      <c r="G6" s="14"/>
      <c r="H6" s="14"/>
    </row>
    <row r="7" spans="1:18" x14ac:dyDescent="0.25">
      <c r="A7" s="1"/>
      <c r="B7" s="1"/>
      <c r="C7" s="1"/>
      <c r="D7" s="1"/>
      <c r="E7" s="1"/>
      <c r="F7" s="1"/>
      <c r="G7" s="1"/>
      <c r="H7" s="1"/>
    </row>
    <row r="8" spans="1:18" ht="13" x14ac:dyDescent="0.3">
      <c r="A8" s="1"/>
      <c r="B8" s="50" t="s">
        <v>0</v>
      </c>
      <c r="C8" s="50"/>
      <c r="D8" s="455" t="str">
        <f>'FORM A'!C3</f>
        <v>PROVISION OF PUBLIC PASSENGER TRANSPORT MKUZE AND SURROUNDING</v>
      </c>
      <c r="E8" s="50"/>
      <c r="F8" s="50"/>
      <c r="G8" s="50"/>
      <c r="H8" s="55"/>
    </row>
    <row r="9" spans="1:18" x14ac:dyDescent="0.25">
      <c r="A9" s="1"/>
      <c r="B9" s="8"/>
      <c r="C9" s="8"/>
      <c r="D9" s="8"/>
      <c r="E9" s="8"/>
      <c r="F9" s="8"/>
      <c r="G9" s="8"/>
      <c r="H9" s="1"/>
    </row>
    <row r="10" spans="1:18" ht="14" x14ac:dyDescent="0.3">
      <c r="A10" s="1"/>
      <c r="B10" s="50" t="str">
        <f>'FORM A'!A6</f>
        <v>CONTRACT : ZNT 1129</v>
      </c>
      <c r="C10" s="8"/>
      <c r="D10" s="8"/>
      <c r="E10" s="50" t="s">
        <v>2</v>
      </c>
      <c r="F10" s="439" t="str">
        <f>'FORM A'!F6</f>
        <v>Ripple Effect 40 (Pty) Ltd</v>
      </c>
      <c r="G10" s="8"/>
      <c r="H10" s="8"/>
      <c r="I10" s="139"/>
      <c r="J10" s="139"/>
      <c r="K10" s="140"/>
      <c r="L10" s="140"/>
      <c r="M10" s="141"/>
      <c r="N10" s="140"/>
      <c r="O10" s="140"/>
      <c r="P10" s="139"/>
      <c r="Q10" s="139"/>
      <c r="R10" s="139"/>
    </row>
    <row r="11" spans="1:18" ht="14" x14ac:dyDescent="0.3">
      <c r="A11" s="1"/>
      <c r="B11" s="8"/>
      <c r="C11" s="8"/>
      <c r="D11" s="21"/>
      <c r="E11" s="126"/>
      <c r="F11" s="8"/>
      <c r="G11" s="8"/>
      <c r="H11" s="8"/>
      <c r="I11" s="139"/>
      <c r="J11" s="139"/>
      <c r="K11" s="140"/>
      <c r="L11" s="140"/>
      <c r="M11" s="141"/>
      <c r="N11" s="140"/>
      <c r="O11" s="140"/>
      <c r="P11" s="139"/>
      <c r="Q11" s="139"/>
      <c r="R11" s="139"/>
    </row>
    <row r="12" spans="1:18" ht="14" x14ac:dyDescent="0.3">
      <c r="A12" s="1"/>
      <c r="B12" s="50" t="s">
        <v>3</v>
      </c>
      <c r="C12" s="8"/>
      <c r="D12" s="153">
        <f>+'FORM A'!C8</f>
        <v>320</v>
      </c>
      <c r="E12" s="50" t="s">
        <v>4</v>
      </c>
      <c r="F12" s="99">
        <f>'FORM A'!F8</f>
        <v>45778</v>
      </c>
      <c r="G12" s="96"/>
      <c r="H12" s="8"/>
      <c r="I12" s="139"/>
      <c r="J12" s="139"/>
      <c r="K12" s="140"/>
      <c r="L12" s="140"/>
      <c r="M12" s="141"/>
      <c r="N12" s="140"/>
      <c r="O12" s="140"/>
      <c r="P12" s="139"/>
      <c r="Q12" s="139"/>
      <c r="R12" s="139"/>
    </row>
    <row r="13" spans="1:18" ht="14" x14ac:dyDescent="0.3">
      <c r="A13" s="1"/>
      <c r="B13" s="49"/>
      <c r="C13" s="1"/>
      <c r="D13" s="1"/>
      <c r="E13" s="1"/>
      <c r="F13" s="1"/>
      <c r="G13" s="1"/>
      <c r="H13" s="1"/>
      <c r="I13" s="139"/>
      <c r="J13" s="139"/>
      <c r="K13" s="140"/>
      <c r="L13" s="140"/>
      <c r="M13" s="141"/>
      <c r="N13" s="140"/>
      <c r="O13" s="140"/>
      <c r="P13" s="139"/>
      <c r="Q13" s="139"/>
      <c r="R13" s="139"/>
    </row>
    <row r="14" spans="1:18" ht="14" x14ac:dyDescent="0.3">
      <c r="A14" s="1"/>
      <c r="B14" s="1"/>
      <c r="C14" s="1"/>
      <c r="D14" s="1"/>
      <c r="E14" s="1"/>
      <c r="F14" s="1"/>
      <c r="G14" s="1"/>
      <c r="H14" s="1"/>
      <c r="I14" s="139"/>
      <c r="J14" s="139"/>
      <c r="K14" s="142" t="s">
        <v>130</v>
      </c>
      <c r="L14" s="140"/>
      <c r="M14" s="141"/>
      <c r="N14" s="140"/>
      <c r="O14" s="140"/>
      <c r="P14" s="139"/>
      <c r="Q14" s="139"/>
      <c r="R14" s="139"/>
    </row>
    <row r="15" spans="1:18" ht="14" x14ac:dyDescent="0.3">
      <c r="A15" s="1"/>
      <c r="B15" s="544" t="s">
        <v>429</v>
      </c>
      <c r="C15" s="8"/>
      <c r="D15" s="154"/>
      <c r="E15" s="8"/>
      <c r="F15" s="8"/>
      <c r="G15" s="8"/>
      <c r="H15" s="8"/>
      <c r="I15" s="139"/>
      <c r="J15" s="139"/>
      <c r="K15" s="140"/>
      <c r="L15" s="140"/>
      <c r="M15" s="141"/>
      <c r="N15" s="140"/>
      <c r="O15" s="140"/>
      <c r="P15" s="139"/>
      <c r="Q15" s="139"/>
      <c r="R15" s="139"/>
    </row>
    <row r="16" spans="1:18" ht="14" x14ac:dyDescent="0.3">
      <c r="A16" s="1"/>
      <c r="B16" s="457"/>
      <c r="C16" s="8"/>
      <c r="D16" s="154"/>
      <c r="E16" s="8"/>
      <c r="F16" s="8"/>
      <c r="G16" s="8"/>
      <c r="H16" s="8"/>
      <c r="I16" s="139"/>
      <c r="J16" s="139"/>
      <c r="K16" s="140"/>
      <c r="L16" s="140"/>
      <c r="M16" s="141"/>
      <c r="N16" s="140"/>
      <c r="O16" s="140"/>
      <c r="P16" s="139"/>
      <c r="Q16" s="139"/>
      <c r="R16" s="139"/>
    </row>
    <row r="17" spans="1:18" ht="14" x14ac:dyDescent="0.3">
      <c r="A17" s="1"/>
      <c r="B17" s="8" t="s">
        <v>33</v>
      </c>
      <c r="C17" s="8"/>
      <c r="D17" s="527">
        <f>'FORM F1 SUB - STD BUS'!M58</f>
        <v>82763.400000000009</v>
      </c>
      <c r="E17" s="8"/>
      <c r="F17" s="8"/>
      <c r="G17" s="8"/>
      <c r="H17" s="8"/>
      <c r="I17" s="139"/>
      <c r="J17" s="139"/>
      <c r="K17" s="142"/>
      <c r="L17" s="142"/>
      <c r="M17" s="143" t="s">
        <v>159</v>
      </c>
      <c r="N17" s="142" t="s">
        <v>160</v>
      </c>
      <c r="O17" s="144" t="s">
        <v>162</v>
      </c>
      <c r="P17" s="145" t="s">
        <v>161</v>
      </c>
      <c r="Q17" s="139"/>
      <c r="R17" s="139"/>
    </row>
    <row r="18" spans="1:18" ht="14" x14ac:dyDescent="0.3">
      <c r="A18" s="1"/>
      <c r="B18" s="8"/>
      <c r="C18" s="8"/>
      <c r="D18" s="155"/>
      <c r="E18" s="8"/>
      <c r="F18" s="8"/>
      <c r="G18" s="8"/>
      <c r="H18" s="8"/>
      <c r="I18" s="139"/>
      <c r="J18" s="139"/>
      <c r="K18" s="142"/>
      <c r="L18" s="142"/>
      <c r="M18" s="143"/>
      <c r="N18" s="142"/>
      <c r="O18" s="144"/>
      <c r="P18" s="145"/>
      <c r="Q18" s="139"/>
      <c r="R18" s="139"/>
    </row>
    <row r="19" spans="1:18" ht="14" x14ac:dyDescent="0.3">
      <c r="A19" s="1"/>
      <c r="B19" s="8" t="s">
        <v>34</v>
      </c>
      <c r="C19" s="8"/>
      <c r="D19" s="8"/>
      <c r="E19" s="8"/>
      <c r="F19" s="8"/>
      <c r="G19" s="156"/>
      <c r="H19" s="8"/>
      <c r="I19" s="139"/>
      <c r="J19" s="146">
        <v>1</v>
      </c>
      <c r="K19" s="147">
        <v>20301</v>
      </c>
      <c r="L19" s="580">
        <v>4.58</v>
      </c>
      <c r="M19" s="149"/>
      <c r="N19" s="148"/>
      <c r="O19" s="147"/>
      <c r="P19" s="150"/>
      <c r="Q19" s="139"/>
      <c r="R19" s="139"/>
    </row>
    <row r="20" spans="1:18" ht="14" x14ac:dyDescent="0.3">
      <c r="A20" s="1"/>
      <c r="B20" s="8"/>
      <c r="C20" s="8"/>
      <c r="D20" s="8"/>
      <c r="E20" s="8"/>
      <c r="F20" s="8"/>
      <c r="G20" s="156"/>
      <c r="H20" s="8"/>
      <c r="I20" s="139"/>
      <c r="J20" s="146">
        <v>2</v>
      </c>
      <c r="K20" s="147">
        <v>19300</v>
      </c>
      <c r="L20" s="580">
        <v>4.82</v>
      </c>
      <c r="M20" s="149"/>
      <c r="N20" s="148"/>
      <c r="O20" s="147"/>
      <c r="P20" s="150"/>
      <c r="Q20" s="139"/>
      <c r="R20" s="139"/>
    </row>
    <row r="21" spans="1:18" ht="14" x14ac:dyDescent="0.3">
      <c r="A21" s="882" t="s">
        <v>249</v>
      </c>
      <c r="B21" s="882"/>
      <c r="C21" s="882"/>
      <c r="D21" s="882"/>
      <c r="E21" s="882"/>
      <c r="F21" s="8"/>
      <c r="G21" s="156"/>
      <c r="H21" s="8"/>
      <c r="I21" s="139"/>
      <c r="J21" s="146">
        <v>3</v>
      </c>
      <c r="K21" s="147">
        <v>18300</v>
      </c>
      <c r="L21" s="580">
        <v>5.08</v>
      </c>
      <c r="M21" s="149"/>
      <c r="N21" s="148"/>
      <c r="O21" s="147"/>
      <c r="P21" s="150"/>
      <c r="Q21" s="139"/>
      <c r="R21" s="139"/>
    </row>
    <row r="22" spans="1:18" ht="14" x14ac:dyDescent="0.3">
      <c r="A22" s="1"/>
      <c r="B22" s="8"/>
      <c r="C22" s="8"/>
      <c r="D22" s="8"/>
      <c r="E22" s="8"/>
      <c r="F22" s="8"/>
      <c r="G22" s="156"/>
      <c r="H22" s="8"/>
      <c r="I22" s="139"/>
      <c r="J22" s="146">
        <v>4</v>
      </c>
      <c r="K22" s="147">
        <v>17300</v>
      </c>
      <c r="L22" s="580">
        <v>5.38</v>
      </c>
      <c r="M22" s="149"/>
      <c r="N22" s="148"/>
      <c r="O22" s="147"/>
      <c r="P22" s="150"/>
      <c r="Q22" s="139"/>
      <c r="R22" s="139"/>
    </row>
    <row r="23" spans="1:18" ht="14" x14ac:dyDescent="0.3">
      <c r="A23" s="1"/>
      <c r="B23" s="8" t="s">
        <v>35</v>
      </c>
      <c r="C23" s="157">
        <f>'FORM F1 SUB - STD BUS'!N58</f>
        <v>82529.400000000009</v>
      </c>
      <c r="D23" s="454" t="s">
        <v>251</v>
      </c>
      <c r="E23" s="8"/>
      <c r="F23" s="860">
        <f>IF(D17&gt;95000,7.11,IF(D17&gt;90000,7.32,IF(D17&gt;85000,7.59,IF(D17&gt;80000,8.21,IF(D17&gt;75000,8.75,IF(D17&gt;70000,9.35))))))</f>
        <v>8.2100000000000009</v>
      </c>
      <c r="G23" s="156" t="s">
        <v>36</v>
      </c>
      <c r="H23" s="8">
        <f>ROUND(C23*F23,2)</f>
        <v>677566.37</v>
      </c>
      <c r="I23" s="139"/>
      <c r="J23" s="146">
        <v>5</v>
      </c>
      <c r="K23" s="147">
        <v>0</v>
      </c>
      <c r="L23" s="580">
        <v>5.38</v>
      </c>
      <c r="M23" s="149"/>
      <c r="N23" s="148"/>
      <c r="O23" s="147"/>
      <c r="P23" s="150"/>
      <c r="Q23" s="139"/>
      <c r="R23" s="139"/>
    </row>
    <row r="24" spans="1:18" ht="14" x14ac:dyDescent="0.3">
      <c r="A24" s="1"/>
      <c r="B24" s="8"/>
      <c r="C24" s="8"/>
      <c r="D24" s="8"/>
      <c r="E24" s="8"/>
      <c r="F24" s="8"/>
      <c r="G24" s="8"/>
      <c r="H24" s="8"/>
      <c r="I24" s="139"/>
      <c r="J24" s="151"/>
      <c r="K24" s="151"/>
      <c r="L24" s="140"/>
      <c r="M24" s="141"/>
      <c r="N24" s="140"/>
      <c r="O24" s="142" t="s">
        <v>69</v>
      </c>
      <c r="P24" s="152" t="e">
        <f>SUM(#REF!)</f>
        <v>#REF!</v>
      </c>
      <c r="Q24" s="139"/>
      <c r="R24" s="139"/>
    </row>
    <row r="25" spans="1:18" ht="14" x14ac:dyDescent="0.3">
      <c r="A25" s="1"/>
      <c r="B25" s="8"/>
      <c r="C25" s="8"/>
      <c r="D25" s="8" t="s">
        <v>5</v>
      </c>
      <c r="E25" s="8"/>
      <c r="F25" s="8"/>
      <c r="G25" s="8"/>
      <c r="H25" s="158">
        <f>SUM(H23:H23)</f>
        <v>677566.37</v>
      </c>
      <c r="I25" s="139"/>
      <c r="J25" s="459">
        <f>F23*1.5</f>
        <v>12.315000000000001</v>
      </c>
      <c r="K25" s="140"/>
      <c r="L25" s="140"/>
      <c r="M25" s="141"/>
      <c r="N25" s="140"/>
      <c r="O25" s="140"/>
      <c r="P25" s="139"/>
      <c r="Q25" s="139"/>
      <c r="R25" s="139"/>
    </row>
    <row r="26" spans="1:18" ht="14" x14ac:dyDescent="0.3">
      <c r="A26" s="1"/>
      <c r="B26" s="8"/>
      <c r="C26" s="8"/>
      <c r="D26" s="8"/>
      <c r="E26" s="8"/>
      <c r="F26" s="8"/>
      <c r="G26" s="8"/>
      <c r="H26" s="8"/>
      <c r="I26" s="139"/>
      <c r="J26" s="139"/>
      <c r="K26" s="140"/>
      <c r="L26" s="140"/>
      <c r="M26" s="141"/>
      <c r="N26" s="140"/>
      <c r="O26" s="140"/>
      <c r="P26" s="139"/>
      <c r="Q26" s="139"/>
      <c r="R26" s="139"/>
    </row>
    <row r="27" spans="1:18" ht="14" x14ac:dyDescent="0.3">
      <c r="A27" s="882" t="s">
        <v>250</v>
      </c>
      <c r="B27" s="882"/>
      <c r="C27" s="882"/>
      <c r="D27" s="882"/>
      <c r="E27" s="882"/>
      <c r="F27" s="8"/>
      <c r="G27" s="8"/>
      <c r="H27" s="8"/>
      <c r="I27" s="139"/>
      <c r="J27" s="139"/>
      <c r="K27" s="140"/>
      <c r="L27" s="140"/>
      <c r="M27" s="141"/>
      <c r="N27" s="140"/>
      <c r="O27" s="140"/>
      <c r="P27" s="139"/>
      <c r="Q27" s="139"/>
      <c r="R27" s="139"/>
    </row>
    <row r="28" spans="1:18" ht="14" x14ac:dyDescent="0.3">
      <c r="A28" s="1"/>
      <c r="B28" s="8"/>
      <c r="C28" s="8"/>
      <c r="D28" s="8"/>
      <c r="E28" s="8"/>
      <c r="F28" s="8"/>
      <c r="G28" s="8"/>
      <c r="H28" s="8"/>
      <c r="I28" s="139"/>
      <c r="J28" s="139"/>
      <c r="K28" s="140"/>
      <c r="L28" s="140"/>
      <c r="M28" s="141"/>
      <c r="N28" s="140"/>
      <c r="O28" s="140"/>
      <c r="P28" s="139"/>
      <c r="Q28" s="139"/>
      <c r="R28" s="139"/>
    </row>
    <row r="29" spans="1:18" ht="14" x14ac:dyDescent="0.3">
      <c r="A29" s="1"/>
      <c r="B29" s="8" t="s">
        <v>35</v>
      </c>
      <c r="C29" s="157">
        <f>'FORM F1 SUB - STD BUS'!Z58</f>
        <v>234</v>
      </c>
      <c r="D29" s="454" t="s">
        <v>252</v>
      </c>
      <c r="E29" s="8"/>
      <c r="F29" s="576">
        <f>ROUND(F23*0.6,2)</f>
        <v>4.93</v>
      </c>
      <c r="G29" s="156" t="s">
        <v>36</v>
      </c>
      <c r="H29" s="8">
        <f>ROUND(C29*F29,2)</f>
        <v>1153.6199999999999</v>
      </c>
      <c r="I29" s="139"/>
      <c r="J29" s="458">
        <f>F23*0.6</f>
        <v>4.9260000000000002</v>
      </c>
      <c r="K29" s="140"/>
      <c r="L29" s="140"/>
      <c r="M29" s="141"/>
      <c r="N29" s="140"/>
      <c r="O29" s="140"/>
      <c r="P29" s="139"/>
      <c r="Q29" s="139"/>
      <c r="R29" s="139"/>
    </row>
    <row r="30" spans="1:18" ht="14" x14ac:dyDescent="0.3">
      <c r="A30" s="1"/>
      <c r="B30" s="8"/>
      <c r="C30" s="8"/>
      <c r="D30" s="8"/>
      <c r="E30" s="8"/>
      <c r="F30" s="8"/>
      <c r="G30" s="8"/>
      <c r="H30" s="8"/>
      <c r="I30" s="139"/>
      <c r="J30" s="139"/>
      <c r="K30" s="140"/>
      <c r="L30" s="140"/>
      <c r="M30" s="141"/>
      <c r="N30" s="140"/>
      <c r="O30" s="140"/>
      <c r="P30" s="139"/>
      <c r="Q30" s="139"/>
      <c r="R30" s="139"/>
    </row>
    <row r="31" spans="1:18" ht="14" x14ac:dyDescent="0.3">
      <c r="A31" s="1"/>
      <c r="B31" s="8"/>
      <c r="C31" s="8"/>
      <c r="D31" s="8"/>
      <c r="E31" s="8"/>
      <c r="F31" s="8"/>
      <c r="G31" s="8"/>
      <c r="H31" s="8"/>
      <c r="I31" s="139"/>
      <c r="J31" s="139"/>
      <c r="K31" s="151"/>
      <c r="L31" s="140"/>
      <c r="M31" s="141"/>
      <c r="N31" s="140"/>
      <c r="O31" s="140"/>
      <c r="P31" s="139"/>
      <c r="Q31" s="139"/>
      <c r="R31" s="139"/>
    </row>
    <row r="32" spans="1:18" x14ac:dyDescent="0.25">
      <c r="A32" s="1" t="s">
        <v>37</v>
      </c>
      <c r="B32" s="8" t="s">
        <v>38</v>
      </c>
      <c r="C32" s="8"/>
      <c r="D32" s="8"/>
      <c r="E32" s="8"/>
      <c r="F32" s="8"/>
      <c r="G32" s="8"/>
      <c r="H32" s="8"/>
    </row>
    <row r="33" spans="1:11" x14ac:dyDescent="0.25">
      <c r="A33" s="1"/>
      <c r="B33" s="8" t="s">
        <v>39</v>
      </c>
      <c r="C33" s="8"/>
      <c r="D33" s="8"/>
      <c r="E33" s="8"/>
      <c r="F33" s="8"/>
      <c r="G33" s="8"/>
      <c r="H33" s="159"/>
    </row>
    <row r="34" spans="1:11" x14ac:dyDescent="0.25">
      <c r="A34" s="1"/>
      <c r="B34" s="8"/>
      <c r="C34" s="8"/>
      <c r="D34" s="8"/>
      <c r="E34" s="8"/>
      <c r="F34" s="8"/>
      <c r="G34" s="8"/>
      <c r="H34" s="8"/>
      <c r="K34" s="107"/>
    </row>
    <row r="35" spans="1:11" x14ac:dyDescent="0.25">
      <c r="A35" s="1"/>
      <c r="B35" s="8" t="s">
        <v>157</v>
      </c>
      <c r="C35" s="8"/>
      <c r="D35" s="8"/>
      <c r="E35" s="8"/>
      <c r="F35" s="8"/>
      <c r="G35" s="519" t="s">
        <v>278</v>
      </c>
      <c r="H35" s="11">
        <f>'FORM G2'!I35</f>
        <v>1889.34</v>
      </c>
      <c r="K35" s="108"/>
    </row>
    <row r="36" spans="1:11" x14ac:dyDescent="0.25">
      <c r="A36" s="1"/>
      <c r="B36" s="8"/>
      <c r="C36" s="8"/>
      <c r="D36" s="8"/>
      <c r="E36" s="8"/>
      <c r="F36" s="8"/>
      <c r="G36" s="8"/>
      <c r="H36" s="8"/>
    </row>
    <row r="37" spans="1:11" x14ac:dyDescent="0.25">
      <c r="A37" s="1"/>
      <c r="B37" s="8"/>
      <c r="C37" s="8"/>
      <c r="D37" s="8"/>
      <c r="E37" s="8"/>
      <c r="F37" s="8"/>
      <c r="G37" s="8"/>
      <c r="H37" s="8"/>
    </row>
    <row r="38" spans="1:11" x14ac:dyDescent="0.25">
      <c r="A38" s="1"/>
      <c r="B38" s="8"/>
      <c r="C38" s="8"/>
      <c r="D38" s="8"/>
      <c r="E38" s="8"/>
      <c r="F38" s="8"/>
      <c r="G38" s="8"/>
      <c r="H38" s="8"/>
    </row>
    <row r="39" spans="1:11" x14ac:dyDescent="0.25">
      <c r="A39" s="1"/>
      <c r="B39" s="8"/>
      <c r="C39" s="8"/>
      <c r="D39" s="8" t="s">
        <v>72</v>
      </c>
      <c r="E39" s="8"/>
      <c r="F39" s="8"/>
      <c r="G39" s="8"/>
      <c r="H39" s="160">
        <f>SUM(H25:H29)-H35</f>
        <v>676830.65</v>
      </c>
    </row>
    <row r="40" spans="1:11" x14ac:dyDescent="0.25">
      <c r="A40" s="1"/>
      <c r="B40" s="8"/>
      <c r="C40" s="8"/>
      <c r="D40" s="8"/>
      <c r="E40" s="8"/>
      <c r="F40" s="8"/>
      <c r="G40" s="8"/>
      <c r="H40" s="8"/>
    </row>
    <row r="41" spans="1:11" x14ac:dyDescent="0.25">
      <c r="A41" s="1"/>
      <c r="B41" s="8"/>
      <c r="C41" s="8"/>
      <c r="D41" s="8"/>
      <c r="E41" s="8"/>
      <c r="F41" s="8"/>
      <c r="G41" s="8"/>
      <c r="H41" s="8"/>
    </row>
    <row r="42" spans="1:11" x14ac:dyDescent="0.25">
      <c r="A42" s="1"/>
      <c r="B42" s="8"/>
      <c r="C42" s="8"/>
      <c r="D42" s="8"/>
      <c r="E42" s="8"/>
      <c r="F42" s="8"/>
      <c r="G42" s="8"/>
      <c r="H42" s="8"/>
    </row>
    <row r="43" spans="1:11" x14ac:dyDescent="0.25">
      <c r="A43" s="1"/>
      <c r="B43" s="8" t="s">
        <v>90</v>
      </c>
      <c r="C43" s="8"/>
      <c r="D43" s="8" t="str">
        <f>'FORM A'!F6</f>
        <v>Ripple Effect 40 (Pty) Ltd</v>
      </c>
      <c r="E43" s="8"/>
      <c r="F43" s="8"/>
      <c r="G43" s="8"/>
      <c r="H43" s="8"/>
    </row>
    <row r="44" spans="1:11" x14ac:dyDescent="0.25">
      <c r="A44" s="1"/>
      <c r="B44" s="8"/>
      <c r="C44" s="8"/>
      <c r="D44" s="8"/>
      <c r="E44" s="8"/>
      <c r="F44" s="8"/>
      <c r="G44" s="8"/>
      <c r="H44" s="8"/>
    </row>
    <row r="45" spans="1:11" x14ac:dyDescent="0.25">
      <c r="A45" s="1"/>
      <c r="B45" s="8"/>
      <c r="C45" s="8"/>
      <c r="D45" s="8"/>
      <c r="E45" s="8"/>
      <c r="F45" s="8"/>
      <c r="G45" s="8"/>
      <c r="H45" s="8"/>
    </row>
    <row r="46" spans="1:11" x14ac:dyDescent="0.25">
      <c r="A46" s="1"/>
      <c r="B46" s="8"/>
      <c r="C46" s="8"/>
      <c r="D46" s="8"/>
      <c r="E46" s="8"/>
      <c r="F46" s="8"/>
      <c r="G46" s="8"/>
      <c r="H46" s="8"/>
    </row>
    <row r="47" spans="1:11" x14ac:dyDescent="0.25">
      <c r="A47" s="1"/>
      <c r="B47" s="8" t="s">
        <v>40</v>
      </c>
      <c r="C47" s="8"/>
      <c r="D47" s="11"/>
      <c r="E47" s="11"/>
      <c r="F47" s="11"/>
      <c r="G47" s="6" t="s">
        <v>242</v>
      </c>
      <c r="H47" s="11"/>
    </row>
    <row r="48" spans="1:11" x14ac:dyDescent="0.25">
      <c r="A48" s="1"/>
      <c r="B48" s="8"/>
      <c r="C48" s="8"/>
      <c r="D48" s="8"/>
      <c r="E48" s="8"/>
      <c r="F48" s="8"/>
      <c r="G48" s="8"/>
      <c r="H48" s="8"/>
    </row>
    <row r="49" spans="1:8" x14ac:dyDescent="0.25">
      <c r="A49" s="1"/>
      <c r="B49" s="8"/>
      <c r="C49" s="8"/>
      <c r="D49" s="8"/>
      <c r="E49" s="8"/>
      <c r="F49" s="8"/>
      <c r="G49" s="8"/>
      <c r="H49" s="8"/>
    </row>
    <row r="50" spans="1:8" x14ac:dyDescent="0.25">
      <c r="A50" s="1"/>
      <c r="B50" s="8"/>
      <c r="C50" s="8"/>
      <c r="D50" s="8"/>
      <c r="E50" s="8"/>
      <c r="F50" s="8"/>
      <c r="G50" s="8"/>
      <c r="H50" s="8"/>
    </row>
    <row r="51" spans="1:8" x14ac:dyDescent="0.25">
      <c r="A51" s="1"/>
      <c r="B51" s="8" t="s">
        <v>41</v>
      </c>
      <c r="C51" s="8"/>
      <c r="D51" s="8"/>
      <c r="E51" s="8"/>
      <c r="F51" s="8"/>
      <c r="G51" s="8"/>
      <c r="H51" s="8"/>
    </row>
    <row r="52" spans="1:8" x14ac:dyDescent="0.25">
      <c r="A52" s="1"/>
      <c r="B52" s="8"/>
      <c r="C52" s="8"/>
      <c r="D52" s="8"/>
      <c r="E52" s="8"/>
      <c r="F52" s="8"/>
      <c r="G52" s="8"/>
      <c r="H52" s="8"/>
    </row>
    <row r="53" spans="1:8" x14ac:dyDescent="0.25">
      <c r="A53" s="1"/>
      <c r="B53" s="8"/>
      <c r="C53" s="8"/>
      <c r="D53" s="8"/>
      <c r="E53" s="8"/>
      <c r="F53" s="8"/>
      <c r="G53" s="8"/>
      <c r="H53" s="8"/>
    </row>
    <row r="54" spans="1:8" x14ac:dyDescent="0.25">
      <c r="A54" s="1"/>
      <c r="B54" s="8" t="s">
        <v>40</v>
      </c>
      <c r="C54" s="8"/>
      <c r="D54" s="11"/>
      <c r="E54" s="11"/>
      <c r="F54" s="8" t="s">
        <v>42</v>
      </c>
      <c r="G54" s="11"/>
      <c r="H54" s="8"/>
    </row>
    <row r="55" spans="1:8" x14ac:dyDescent="0.25">
      <c r="A55" s="1"/>
      <c r="B55" s="8"/>
      <c r="C55" s="8"/>
      <c r="D55" s="8"/>
      <c r="E55" s="8"/>
      <c r="F55" s="8"/>
      <c r="G55" s="8"/>
      <c r="H55" s="8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4"/>
      <c r="B59" s="14"/>
      <c r="C59" s="14"/>
      <c r="D59" s="14"/>
      <c r="E59" s="14"/>
      <c r="F59" s="14"/>
      <c r="G59" s="14"/>
      <c r="H59" s="14"/>
    </row>
    <row r="60" spans="1:8" x14ac:dyDescent="0.25">
      <c r="A60" s="14"/>
      <c r="B60" s="14"/>
      <c r="C60" s="14"/>
      <c r="D60" s="14"/>
      <c r="E60" s="14"/>
      <c r="F60" s="48"/>
      <c r="G60" s="14"/>
      <c r="H60" s="14"/>
    </row>
  </sheetData>
  <mergeCells count="4">
    <mergeCell ref="C6:D6"/>
    <mergeCell ref="A1:H1"/>
    <mergeCell ref="A21:E21"/>
    <mergeCell ref="A27:E27"/>
  </mergeCells>
  <phoneticPr fontId="5" type="noConversion"/>
  <pageMargins left="0.39" right="0.4" top="1" bottom="1" header="0.52" footer="0.5"/>
  <pageSetup paperSize="9" scale="83" orientation="portrait" horizontalDpi="4294967292" vertic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30"/>
  <sheetViews>
    <sheetView view="pageBreakPreview" topLeftCell="A304" zoomScale="85" zoomScaleNormal="150" zoomScaleSheetLayoutView="85" workbookViewId="0">
      <selection activeCell="G318" sqref="G318"/>
    </sheetView>
  </sheetViews>
  <sheetFormatPr defaultColWidth="8.81640625" defaultRowHeight="12.5" x14ac:dyDescent="0.25"/>
  <cols>
    <col min="1" max="1" width="9" customWidth="1"/>
    <col min="2" max="2" width="10.453125" customWidth="1"/>
    <col min="3" max="3" width="7.453125" customWidth="1"/>
    <col min="4" max="4" width="10" customWidth="1"/>
    <col min="5" max="5" width="11" customWidth="1"/>
    <col min="6" max="6" width="15.453125" customWidth="1"/>
    <col min="7" max="7" width="14.453125" customWidth="1"/>
    <col min="8" max="8" width="14" customWidth="1"/>
    <col min="9" max="9" width="12.1796875" customWidth="1"/>
    <col min="10" max="10" width="0" hidden="1" customWidth="1"/>
    <col min="11" max="11" width="13.7265625" hidden="1" customWidth="1"/>
    <col min="12" max="12" width="14.7265625" bestFit="1" customWidth="1"/>
  </cols>
  <sheetData>
    <row r="1" spans="1:11" x14ac:dyDescent="0.25">
      <c r="A1" s="882" t="s">
        <v>67</v>
      </c>
      <c r="B1" s="882"/>
      <c r="C1" s="882"/>
      <c r="D1" s="882"/>
      <c r="E1" s="882"/>
      <c r="F1" s="882"/>
      <c r="G1" s="882"/>
      <c r="H1" s="882"/>
      <c r="I1" s="882"/>
    </row>
    <row r="3" spans="1:11" ht="13" x14ac:dyDescent="0.3">
      <c r="A3" s="55" t="s">
        <v>0</v>
      </c>
      <c r="B3" s="55"/>
      <c r="C3" s="460" t="str">
        <f>'FORM A'!C3</f>
        <v>PROVISION OF PUBLIC PASSENGER TRANSPORT MKUZE AND SURROUNDING</v>
      </c>
      <c r="E3" s="55"/>
      <c r="F3" s="97"/>
      <c r="G3" s="55"/>
      <c r="H3" s="55"/>
      <c r="I3" s="56"/>
    </row>
    <row r="4" spans="1:11" x14ac:dyDescent="0.25">
      <c r="A4" s="1"/>
      <c r="B4" s="1"/>
      <c r="C4" s="1"/>
      <c r="D4" s="1"/>
      <c r="E4" s="1"/>
      <c r="G4" s="6"/>
      <c r="H4" s="6"/>
      <c r="I4" s="6"/>
    </row>
    <row r="5" spans="1:11" x14ac:dyDescent="0.25">
      <c r="A5" s="8" t="str">
        <f>'FORM A'!A6</f>
        <v>CONTRACT : ZNT 1129</v>
      </c>
      <c r="B5" s="1"/>
      <c r="C5" s="1"/>
      <c r="D5" s="1"/>
      <c r="E5" s="1"/>
      <c r="F5" s="55" t="s">
        <v>2</v>
      </c>
      <c r="G5" s="438" t="str">
        <f>'FORM A'!F6</f>
        <v>Ripple Effect 40 (Pty) Ltd</v>
      </c>
      <c r="H5" s="8"/>
      <c r="I5" s="1"/>
    </row>
    <row r="6" spans="1:11" x14ac:dyDescent="0.25">
      <c r="A6" s="1"/>
      <c r="B6" s="1"/>
      <c r="C6" s="1"/>
      <c r="D6" s="1"/>
      <c r="E6" s="1"/>
      <c r="F6" s="55"/>
      <c r="G6" s="1"/>
      <c r="H6" s="1"/>
      <c r="I6" s="1"/>
    </row>
    <row r="7" spans="1:11" x14ac:dyDescent="0.25">
      <c r="A7" s="1" t="s">
        <v>32</v>
      </c>
      <c r="B7" s="1"/>
      <c r="C7" s="1"/>
      <c r="D7" s="103">
        <f>'FORM A'!C8</f>
        <v>320</v>
      </c>
      <c r="E7" s="1"/>
      <c r="F7" s="55" t="s">
        <v>4</v>
      </c>
      <c r="G7" s="299">
        <f>'FORM A'!F8</f>
        <v>45778</v>
      </c>
      <c r="H7" s="1"/>
      <c r="I7" s="20"/>
    </row>
    <row r="8" spans="1:11" x14ac:dyDescent="0.25">
      <c r="A8" s="1"/>
      <c r="B8" s="1"/>
      <c r="C8" s="1"/>
      <c r="D8" s="1"/>
      <c r="E8" s="1"/>
      <c r="F8" s="55"/>
      <c r="G8" s="1"/>
      <c r="H8" s="1"/>
      <c r="I8" s="22"/>
    </row>
    <row r="9" spans="1:11" x14ac:dyDescent="0.25">
      <c r="A9" s="55" t="s">
        <v>81</v>
      </c>
      <c r="B9" s="55"/>
      <c r="C9" s="1"/>
      <c r="D9" s="1"/>
      <c r="E9" s="1"/>
      <c r="F9" s="1"/>
      <c r="G9" s="1"/>
      <c r="H9" s="167"/>
      <c r="I9" s="22"/>
    </row>
    <row r="10" spans="1:11" x14ac:dyDescent="0.25">
      <c r="A10" s="55"/>
      <c r="B10" s="55"/>
      <c r="C10" s="1"/>
      <c r="D10" s="1"/>
      <c r="E10" s="1"/>
      <c r="F10" s="1" t="s">
        <v>241</v>
      </c>
      <c r="G10" s="338"/>
      <c r="H10" s="167"/>
      <c r="I10" s="22"/>
    </row>
    <row r="11" spans="1:11" x14ac:dyDescent="0.25">
      <c r="A11" s="55"/>
      <c r="B11" s="55"/>
      <c r="C11" s="1"/>
      <c r="D11" s="1"/>
      <c r="E11" s="1"/>
      <c r="F11" s="1" t="s">
        <v>245</v>
      </c>
      <c r="G11" s="1"/>
      <c r="H11" s="167"/>
      <c r="I11" s="22"/>
    </row>
    <row r="12" spans="1:11" x14ac:dyDescent="0.25">
      <c r="B12" s="1"/>
      <c r="C12" s="1"/>
      <c r="D12" s="1"/>
      <c r="E12" s="1"/>
      <c r="F12" s="1"/>
      <c r="G12" s="1"/>
      <c r="H12" s="1"/>
      <c r="I12" s="1"/>
    </row>
    <row r="13" spans="1:11" x14ac:dyDescent="0.25">
      <c r="A13" s="23"/>
      <c r="B13" s="40"/>
      <c r="C13" s="24"/>
      <c r="D13" s="23"/>
      <c r="E13" s="24"/>
      <c r="F13" s="23"/>
      <c r="G13" s="25"/>
      <c r="H13" s="25"/>
      <c r="I13" s="16"/>
    </row>
    <row r="14" spans="1:11" x14ac:dyDescent="0.25">
      <c r="A14" s="26"/>
      <c r="B14" s="17"/>
      <c r="C14" s="18"/>
      <c r="D14" s="883" t="s">
        <v>87</v>
      </c>
      <c r="E14" s="885"/>
      <c r="F14" s="883" t="s">
        <v>84</v>
      </c>
      <c r="G14" s="884"/>
      <c r="H14" s="885"/>
      <c r="I14" s="5"/>
    </row>
    <row r="15" spans="1:11" x14ac:dyDescent="0.25">
      <c r="A15" s="26"/>
      <c r="B15" s="17"/>
      <c r="C15" s="18"/>
      <c r="D15" s="24"/>
      <c r="E15" s="58"/>
      <c r="F15" s="23"/>
      <c r="G15" s="27" t="s">
        <v>37</v>
      </c>
      <c r="H15" s="27"/>
      <c r="I15" s="3"/>
    </row>
    <row r="16" spans="1:11" x14ac:dyDescent="0.25">
      <c r="A16" s="26" t="s">
        <v>74</v>
      </c>
      <c r="B16" s="17" t="s">
        <v>15</v>
      </c>
      <c r="C16" s="18" t="s">
        <v>16</v>
      </c>
      <c r="D16" s="18" t="s">
        <v>54</v>
      </c>
      <c r="E16" s="58" t="s">
        <v>56</v>
      </c>
      <c r="F16" s="28" t="s">
        <v>68</v>
      </c>
      <c r="G16" s="28" t="s">
        <v>237</v>
      </c>
      <c r="H16" s="26" t="s">
        <v>237</v>
      </c>
      <c r="I16" s="29" t="s">
        <v>238</v>
      </c>
      <c r="K16" s="28" t="s">
        <v>244</v>
      </c>
    </row>
    <row r="17" spans="1:12" x14ac:dyDescent="0.25">
      <c r="A17" s="26" t="s">
        <v>86</v>
      </c>
      <c r="B17" s="17"/>
      <c r="C17" s="18"/>
      <c r="D17" s="18"/>
      <c r="E17" s="58"/>
      <c r="F17" s="26"/>
      <c r="G17" s="28" t="s">
        <v>239</v>
      </c>
      <c r="H17" s="26" t="s">
        <v>240</v>
      </c>
      <c r="I17" s="3"/>
      <c r="K17" t="s">
        <v>243</v>
      </c>
    </row>
    <row r="18" spans="1:12" x14ac:dyDescent="0.25">
      <c r="A18" s="32"/>
      <c r="B18" s="19"/>
      <c r="C18" s="19"/>
      <c r="D18" s="33"/>
      <c r="E18" s="60"/>
      <c r="F18" s="32"/>
      <c r="G18" s="34"/>
      <c r="H18" s="34"/>
      <c r="I18" s="5"/>
    </row>
    <row r="19" spans="1:12" x14ac:dyDescent="0.25">
      <c r="A19" s="73">
        <v>1</v>
      </c>
      <c r="B19" s="73">
        <v>2</v>
      </c>
      <c r="C19" s="74">
        <v>3</v>
      </c>
      <c r="D19" s="376">
        <v>4</v>
      </c>
      <c r="E19" s="372">
        <v>5</v>
      </c>
      <c r="F19" s="73">
        <v>6</v>
      </c>
      <c r="G19" s="72">
        <v>7</v>
      </c>
      <c r="H19" s="72">
        <v>8</v>
      </c>
      <c r="I19" s="73">
        <v>9</v>
      </c>
    </row>
    <row r="20" spans="1:12" x14ac:dyDescent="0.25">
      <c r="A20" s="43">
        <v>22</v>
      </c>
      <c r="B20" s="132" t="s">
        <v>290</v>
      </c>
      <c r="C20" s="43">
        <v>2000</v>
      </c>
      <c r="D20" s="584"/>
      <c r="E20" s="583"/>
      <c r="F20" s="370"/>
      <c r="G20" s="26">
        <f>'FORM B'!H38</f>
        <v>782646.52999999747</v>
      </c>
      <c r="H20" s="26"/>
      <c r="I20" s="17"/>
      <c r="K20" s="69"/>
      <c r="L20" s="7"/>
    </row>
    <row r="21" spans="1:12" x14ac:dyDescent="0.25">
      <c r="A21" s="43">
        <f t="shared" ref="A21:A84" si="0">A20+1</f>
        <v>23</v>
      </c>
      <c r="B21" s="132" t="s">
        <v>291</v>
      </c>
      <c r="C21" s="43">
        <v>2000</v>
      </c>
      <c r="D21" s="584"/>
      <c r="E21" s="583"/>
      <c r="F21" s="370"/>
      <c r="G21" s="26">
        <f>'FORM B'!H39</f>
        <v>888930.16000000015</v>
      </c>
      <c r="H21" s="26"/>
      <c r="I21" s="17"/>
      <c r="K21" s="69"/>
      <c r="L21" s="7"/>
    </row>
    <row r="22" spans="1:12" x14ac:dyDescent="0.25">
      <c r="A22" s="43">
        <f t="shared" si="0"/>
        <v>24</v>
      </c>
      <c r="B22" s="132" t="s">
        <v>292</v>
      </c>
      <c r="C22" s="43">
        <v>2000</v>
      </c>
      <c r="D22" s="584"/>
      <c r="E22" s="583"/>
      <c r="F22" s="370"/>
      <c r="G22" s="26">
        <f>'FORM B'!H40</f>
        <v>902304.64999999851</v>
      </c>
      <c r="H22" s="26"/>
      <c r="I22" s="17"/>
      <c r="K22" s="69"/>
      <c r="L22" s="7"/>
    </row>
    <row r="23" spans="1:12" x14ac:dyDescent="0.25">
      <c r="A23" s="43">
        <f t="shared" si="0"/>
        <v>25</v>
      </c>
      <c r="B23" s="132" t="s">
        <v>293</v>
      </c>
      <c r="C23" s="43">
        <v>2000</v>
      </c>
      <c r="D23" s="584"/>
      <c r="E23" s="583"/>
      <c r="F23" s="370"/>
      <c r="G23" s="26">
        <f>'FORM B'!H41</f>
        <v>795334.02</v>
      </c>
      <c r="H23" s="26"/>
      <c r="I23" s="17"/>
      <c r="K23" s="69"/>
      <c r="L23" s="7"/>
    </row>
    <row r="24" spans="1:12" x14ac:dyDescent="0.25">
      <c r="A24" s="43">
        <f t="shared" si="0"/>
        <v>26</v>
      </c>
      <c r="B24" s="132" t="s">
        <v>294</v>
      </c>
      <c r="C24" s="43">
        <v>2000</v>
      </c>
      <c r="D24" s="584"/>
      <c r="E24" s="583"/>
      <c r="F24" s="370"/>
      <c r="G24" s="26">
        <f>'FORM B'!H42</f>
        <v>783205.0900000002</v>
      </c>
      <c r="H24" s="26"/>
      <c r="I24" s="17"/>
      <c r="K24" s="69"/>
      <c r="L24" s="7"/>
    </row>
    <row r="25" spans="1:12" x14ac:dyDescent="0.25">
      <c r="A25" s="43">
        <f t="shared" si="0"/>
        <v>27</v>
      </c>
      <c r="B25" s="132" t="s">
        <v>295</v>
      </c>
      <c r="C25" s="43">
        <v>2001</v>
      </c>
      <c r="D25" s="584"/>
      <c r="E25" s="583"/>
      <c r="F25" s="370"/>
      <c r="G25" s="26">
        <f>'FORM B'!H43</f>
        <v>470298.4</v>
      </c>
      <c r="H25" s="26"/>
      <c r="I25" s="17"/>
      <c r="K25" s="69"/>
      <c r="L25" s="7"/>
    </row>
    <row r="26" spans="1:12" x14ac:dyDescent="0.25">
      <c r="A26" s="43">
        <f t="shared" si="0"/>
        <v>28</v>
      </c>
      <c r="B26" s="132" t="s">
        <v>296</v>
      </c>
      <c r="C26" s="43">
        <v>2001</v>
      </c>
      <c r="D26" s="584"/>
      <c r="E26" s="583"/>
      <c r="F26" s="370"/>
      <c r="G26" s="26">
        <f>'FORM B'!H44</f>
        <v>319622.65000000002</v>
      </c>
      <c r="H26" s="26"/>
      <c r="I26" s="17"/>
      <c r="K26" s="69"/>
      <c r="L26" s="7"/>
    </row>
    <row r="27" spans="1:12" x14ac:dyDescent="0.25">
      <c r="A27" s="43">
        <f t="shared" si="0"/>
        <v>29</v>
      </c>
      <c r="B27" s="132" t="s">
        <v>297</v>
      </c>
      <c r="C27" s="43">
        <v>2001</v>
      </c>
      <c r="D27" s="584"/>
      <c r="E27" s="583"/>
      <c r="F27" s="370"/>
      <c r="G27" s="26">
        <f>'FORM B'!H45</f>
        <v>648587.46000000008</v>
      </c>
      <c r="H27" s="26"/>
      <c r="I27" s="17"/>
      <c r="K27" s="69"/>
      <c r="L27" s="7"/>
    </row>
    <row r="28" spans="1:12" x14ac:dyDescent="0.25">
      <c r="A28" s="43">
        <f t="shared" si="0"/>
        <v>30</v>
      </c>
      <c r="B28" s="132" t="s">
        <v>298</v>
      </c>
      <c r="C28" s="43">
        <v>2001</v>
      </c>
      <c r="D28" s="584"/>
      <c r="E28" s="583"/>
      <c r="F28" s="370"/>
      <c r="G28" s="26">
        <f>'FORM B'!H46</f>
        <v>657436.78</v>
      </c>
      <c r="H28" s="26"/>
      <c r="I28" s="17"/>
      <c r="K28" s="69"/>
      <c r="L28" s="7"/>
    </row>
    <row r="29" spans="1:12" x14ac:dyDescent="0.25">
      <c r="A29" s="43">
        <f t="shared" si="0"/>
        <v>31</v>
      </c>
      <c r="B29" s="132" t="s">
        <v>299</v>
      </c>
      <c r="C29" s="43">
        <v>2001</v>
      </c>
      <c r="D29" s="584"/>
      <c r="E29" s="583"/>
      <c r="F29" s="370"/>
      <c r="G29" s="26">
        <f>'FORM B'!H47</f>
        <v>657436.78</v>
      </c>
      <c r="H29" s="26"/>
      <c r="I29" s="17"/>
      <c r="K29" s="69"/>
      <c r="L29" s="7"/>
    </row>
    <row r="30" spans="1:12" x14ac:dyDescent="0.25">
      <c r="A30" s="43">
        <v>32</v>
      </c>
      <c r="B30" s="132" t="s">
        <v>299</v>
      </c>
      <c r="C30" s="43">
        <v>2001</v>
      </c>
      <c r="D30" s="584"/>
      <c r="E30" s="583"/>
      <c r="F30" s="370"/>
      <c r="G30" s="26">
        <f>'FORM B'!H48</f>
        <v>112530.6</v>
      </c>
      <c r="H30" s="26"/>
      <c r="I30" s="17"/>
      <c r="K30" s="69"/>
      <c r="L30" s="7"/>
    </row>
    <row r="31" spans="1:12" x14ac:dyDescent="0.25">
      <c r="A31" s="43">
        <f t="shared" si="0"/>
        <v>33</v>
      </c>
      <c r="B31" s="132" t="s">
        <v>300</v>
      </c>
      <c r="C31" s="43">
        <v>2001</v>
      </c>
      <c r="D31" s="584"/>
      <c r="E31" s="583"/>
      <c r="F31" s="370"/>
      <c r="G31" s="26">
        <f>'FORM B'!H49</f>
        <v>564446.96000000008</v>
      </c>
      <c r="H31" s="26"/>
      <c r="I31" s="17"/>
      <c r="K31" s="69"/>
      <c r="L31" s="7"/>
    </row>
    <row r="32" spans="1:12" x14ac:dyDescent="0.25">
      <c r="A32" s="43">
        <f t="shared" si="0"/>
        <v>34</v>
      </c>
      <c r="B32" s="132" t="s">
        <v>289</v>
      </c>
      <c r="C32" s="43">
        <v>2001</v>
      </c>
      <c r="D32" s="584"/>
      <c r="E32" s="583"/>
      <c r="F32" s="370"/>
      <c r="G32" s="26">
        <f>'FORM B'!H50</f>
        <v>704751.57000000007</v>
      </c>
      <c r="H32" s="26"/>
      <c r="I32" s="17"/>
      <c r="K32" s="69"/>
      <c r="L32" s="7"/>
    </row>
    <row r="33" spans="1:12" x14ac:dyDescent="0.25">
      <c r="A33" s="43">
        <f t="shared" si="0"/>
        <v>35</v>
      </c>
      <c r="B33" s="132" t="s">
        <v>290</v>
      </c>
      <c r="C33" s="43">
        <v>2001</v>
      </c>
      <c r="D33" s="584"/>
      <c r="E33" s="583"/>
      <c r="F33" s="370"/>
      <c r="G33" s="26">
        <f>'FORM B'!H51</f>
        <v>820266.15</v>
      </c>
      <c r="H33" s="26"/>
      <c r="I33" s="17"/>
      <c r="K33" s="69"/>
      <c r="L33" s="7"/>
    </row>
    <row r="34" spans="1:12" x14ac:dyDescent="0.25">
      <c r="A34" s="43">
        <f t="shared" si="0"/>
        <v>36</v>
      </c>
      <c r="B34" s="132" t="s">
        <v>291</v>
      </c>
      <c r="C34" s="43">
        <v>2001</v>
      </c>
      <c r="D34" s="584"/>
      <c r="E34" s="583"/>
      <c r="F34" s="370"/>
      <c r="G34" s="26">
        <f>'FORM B'!H52</f>
        <v>-58633.520000000004</v>
      </c>
      <c r="H34" s="26"/>
      <c r="I34" s="17"/>
      <c r="K34" s="69"/>
      <c r="L34" s="7"/>
    </row>
    <row r="35" spans="1:12" x14ac:dyDescent="0.25">
      <c r="A35" s="43">
        <f t="shared" si="0"/>
        <v>37</v>
      </c>
      <c r="B35" s="132" t="s">
        <v>292</v>
      </c>
      <c r="C35" s="43">
        <v>2001</v>
      </c>
      <c r="D35" s="584"/>
      <c r="E35" s="583"/>
      <c r="F35" s="370"/>
      <c r="G35" s="26">
        <f>'FORM B'!H53</f>
        <v>4211.92</v>
      </c>
      <c r="H35" s="26"/>
      <c r="I35" s="17"/>
      <c r="K35" s="69"/>
      <c r="L35" s="7"/>
    </row>
    <row r="36" spans="1:12" x14ac:dyDescent="0.25">
      <c r="A36" s="43">
        <f t="shared" si="0"/>
        <v>38</v>
      </c>
      <c r="B36" s="132" t="s">
        <v>293</v>
      </c>
      <c r="C36" s="43">
        <v>2001</v>
      </c>
      <c r="D36" s="584"/>
      <c r="E36" s="583"/>
      <c r="F36" s="370"/>
      <c r="G36" s="26">
        <f>'FORM B'!H54</f>
        <v>354016.29</v>
      </c>
      <c r="H36" s="26"/>
      <c r="I36" s="17"/>
      <c r="K36" s="69"/>
      <c r="L36" s="7"/>
    </row>
    <row r="37" spans="1:12" x14ac:dyDescent="0.25">
      <c r="A37" s="43">
        <f t="shared" si="0"/>
        <v>39</v>
      </c>
      <c r="B37" s="132" t="s">
        <v>294</v>
      </c>
      <c r="C37" s="43">
        <v>2002</v>
      </c>
      <c r="D37" s="584"/>
      <c r="E37" s="583"/>
      <c r="F37" s="370"/>
      <c r="G37" s="26">
        <f>'FORM B'!H55</f>
        <v>923872.94000000006</v>
      </c>
      <c r="H37" s="26"/>
      <c r="I37" s="17"/>
      <c r="K37" s="69"/>
      <c r="L37" s="7"/>
    </row>
    <row r="38" spans="1:12" x14ac:dyDescent="0.25">
      <c r="A38" s="43">
        <f t="shared" si="0"/>
        <v>40</v>
      </c>
      <c r="B38" s="132" t="s">
        <v>295</v>
      </c>
      <c r="C38" s="43">
        <v>2002</v>
      </c>
      <c r="D38" s="584"/>
      <c r="E38" s="583"/>
      <c r="F38" s="370"/>
      <c r="G38" s="26">
        <f>'FORM B'!H56</f>
        <v>950628.74</v>
      </c>
      <c r="H38" s="26"/>
      <c r="I38" s="17"/>
      <c r="K38" s="69"/>
      <c r="L38" s="7"/>
    </row>
    <row r="39" spans="1:12" x14ac:dyDescent="0.25">
      <c r="A39" s="43">
        <f t="shared" si="0"/>
        <v>41</v>
      </c>
      <c r="B39" s="132" t="s">
        <v>296</v>
      </c>
      <c r="C39" s="43">
        <v>2002</v>
      </c>
      <c r="D39" s="584"/>
      <c r="E39" s="583"/>
      <c r="F39" s="370"/>
      <c r="G39" s="26">
        <f>'FORM B'!H57</f>
        <v>991401.45000000007</v>
      </c>
      <c r="H39" s="26"/>
      <c r="I39" s="17"/>
      <c r="K39" s="69"/>
      <c r="L39" s="7"/>
    </row>
    <row r="40" spans="1:12" x14ac:dyDescent="0.25">
      <c r="A40" s="43">
        <f t="shared" si="0"/>
        <v>42</v>
      </c>
      <c r="B40" s="132" t="s">
        <v>297</v>
      </c>
      <c r="C40" s="43">
        <v>2002</v>
      </c>
      <c r="D40" s="584"/>
      <c r="E40" s="583"/>
      <c r="F40" s="370"/>
      <c r="G40" s="26">
        <f>'FORM B'!H58</f>
        <v>997903.87</v>
      </c>
      <c r="H40" s="26"/>
      <c r="I40" s="17"/>
      <c r="K40" s="69"/>
      <c r="L40" s="7"/>
    </row>
    <row r="41" spans="1:12" x14ac:dyDescent="0.25">
      <c r="A41" s="43">
        <f t="shared" si="0"/>
        <v>43</v>
      </c>
      <c r="B41" s="132" t="s">
        <v>298</v>
      </c>
      <c r="C41" s="43">
        <v>2002</v>
      </c>
      <c r="D41" s="584"/>
      <c r="E41" s="583"/>
      <c r="F41" s="370"/>
      <c r="G41" s="26">
        <f>'FORM B'!H59</f>
        <v>965310.04</v>
      </c>
      <c r="H41" s="26"/>
      <c r="I41" s="17"/>
      <c r="K41" s="69"/>
      <c r="L41" s="7"/>
    </row>
    <row r="42" spans="1:12" x14ac:dyDescent="0.25">
      <c r="A42" s="43">
        <f t="shared" si="0"/>
        <v>44</v>
      </c>
      <c r="B42" s="132" t="s">
        <v>299</v>
      </c>
      <c r="C42" s="43">
        <v>2002</v>
      </c>
      <c r="D42" s="584"/>
      <c r="E42" s="583"/>
      <c r="F42" s="370"/>
      <c r="G42" s="26">
        <f>'FORM B'!H60</f>
        <v>1104643.05</v>
      </c>
      <c r="H42" s="26"/>
      <c r="I42" s="17"/>
      <c r="K42" s="69"/>
      <c r="L42" s="7"/>
    </row>
    <row r="43" spans="1:12" x14ac:dyDescent="0.25">
      <c r="A43" s="43">
        <f t="shared" si="0"/>
        <v>45</v>
      </c>
      <c r="B43" s="132" t="s">
        <v>300</v>
      </c>
      <c r="C43" s="43">
        <v>2002</v>
      </c>
      <c r="D43" s="584"/>
      <c r="E43" s="583"/>
      <c r="F43" s="370"/>
      <c r="G43" s="26">
        <f>'FORM B'!H61</f>
        <v>1086677.8400000001</v>
      </c>
      <c r="H43" s="26"/>
      <c r="I43" s="17"/>
      <c r="K43" s="69"/>
      <c r="L43" s="7"/>
    </row>
    <row r="44" spans="1:12" x14ac:dyDescent="0.25">
      <c r="A44" s="43">
        <f t="shared" si="0"/>
        <v>46</v>
      </c>
      <c r="B44" s="132" t="s">
        <v>289</v>
      </c>
      <c r="C44" s="43">
        <v>2002</v>
      </c>
      <c r="D44" s="584"/>
      <c r="E44" s="583"/>
      <c r="F44" s="370"/>
      <c r="G44" s="26">
        <f>'FORM B'!H62</f>
        <v>1020707.9800000002</v>
      </c>
      <c r="H44" s="26"/>
      <c r="I44" s="17"/>
      <c r="K44" s="69"/>
      <c r="L44" s="7"/>
    </row>
    <row r="45" spans="1:12" x14ac:dyDescent="0.25">
      <c r="A45" s="43">
        <f t="shared" si="0"/>
        <v>47</v>
      </c>
      <c r="B45" s="132" t="s">
        <v>290</v>
      </c>
      <c r="C45" s="43">
        <v>2002</v>
      </c>
      <c r="D45" s="584"/>
      <c r="E45" s="583"/>
      <c r="F45" s="370"/>
      <c r="G45" s="26">
        <f>'FORM B'!H63</f>
        <v>1054137.83</v>
      </c>
      <c r="H45" s="26"/>
      <c r="I45" s="17"/>
      <c r="K45" s="69"/>
      <c r="L45" s="7"/>
    </row>
    <row r="46" spans="1:12" x14ac:dyDescent="0.25">
      <c r="A46" s="43">
        <f t="shared" si="0"/>
        <v>48</v>
      </c>
      <c r="B46" s="132" t="s">
        <v>291</v>
      </c>
      <c r="C46" s="43">
        <v>2002</v>
      </c>
      <c r="D46" s="584"/>
      <c r="E46" s="583"/>
      <c r="F46" s="370"/>
      <c r="G46" s="26">
        <f>'FORM B'!H64</f>
        <v>1128591.54</v>
      </c>
      <c r="H46" s="26"/>
      <c r="I46" s="17"/>
      <c r="K46" s="69"/>
      <c r="L46" s="7"/>
    </row>
    <row r="47" spans="1:12" x14ac:dyDescent="0.25">
      <c r="A47" s="43">
        <f t="shared" si="0"/>
        <v>49</v>
      </c>
      <c r="B47" s="132" t="s">
        <v>292</v>
      </c>
      <c r="C47" s="43">
        <v>2002</v>
      </c>
      <c r="D47" s="584"/>
      <c r="E47" s="583"/>
      <c r="F47" s="370"/>
      <c r="G47" s="26">
        <f>'FORM B'!H65</f>
        <v>1046304.0800000001</v>
      </c>
      <c r="H47" s="26"/>
      <c r="I47" s="17"/>
      <c r="K47" s="69"/>
      <c r="L47" s="7"/>
    </row>
    <row r="48" spans="1:12" x14ac:dyDescent="0.25">
      <c r="A48" s="43">
        <f t="shared" si="0"/>
        <v>50</v>
      </c>
      <c r="B48" s="132" t="s">
        <v>293</v>
      </c>
      <c r="C48" s="43">
        <v>2002</v>
      </c>
      <c r="D48" s="584"/>
      <c r="E48" s="583"/>
      <c r="F48" s="370"/>
      <c r="G48" s="26">
        <f>'FORM B'!H66</f>
        <v>1126399.7</v>
      </c>
      <c r="H48" s="26"/>
      <c r="I48" s="17"/>
      <c r="K48" s="69"/>
      <c r="L48" s="7"/>
    </row>
    <row r="49" spans="1:12" x14ac:dyDescent="0.25">
      <c r="A49" s="43">
        <f t="shared" si="0"/>
        <v>51</v>
      </c>
      <c r="B49" s="132" t="s">
        <v>294</v>
      </c>
      <c r="C49" s="43">
        <v>2003</v>
      </c>
      <c r="D49" s="584"/>
      <c r="E49" s="583"/>
      <c r="F49" s="370"/>
      <c r="G49" s="26">
        <f>'FORM B'!H67</f>
        <v>1104355.3</v>
      </c>
      <c r="H49" s="26"/>
      <c r="I49" s="17"/>
      <c r="K49" s="69"/>
      <c r="L49" s="7"/>
    </row>
    <row r="50" spans="1:12" x14ac:dyDescent="0.25">
      <c r="A50" s="43">
        <f t="shared" si="0"/>
        <v>52</v>
      </c>
      <c r="B50" s="132" t="s">
        <v>295</v>
      </c>
      <c r="C50" s="43">
        <v>2003</v>
      </c>
      <c r="D50" s="584"/>
      <c r="E50" s="583"/>
      <c r="F50" s="370"/>
      <c r="G50" s="26">
        <f>'FORM B'!H68</f>
        <v>1141587.24</v>
      </c>
      <c r="H50" s="26"/>
      <c r="I50" s="17"/>
      <c r="K50" s="69"/>
      <c r="L50" s="7"/>
    </row>
    <row r="51" spans="1:12" x14ac:dyDescent="0.25">
      <c r="A51" s="43">
        <f t="shared" si="0"/>
        <v>53</v>
      </c>
      <c r="B51" s="132" t="s">
        <v>296</v>
      </c>
      <c r="C51" s="43">
        <v>2003</v>
      </c>
      <c r="D51" s="584"/>
      <c r="E51" s="583"/>
      <c r="F51" s="370"/>
      <c r="G51" s="26">
        <f>'FORM B'!H69</f>
        <v>1027817.5800000001</v>
      </c>
      <c r="H51" s="26"/>
      <c r="I51" s="17"/>
      <c r="K51" s="69"/>
      <c r="L51" s="7"/>
    </row>
    <row r="52" spans="1:12" x14ac:dyDescent="0.25">
      <c r="A52" s="43">
        <f t="shared" si="0"/>
        <v>54</v>
      </c>
      <c r="B52" s="132" t="s">
        <v>297</v>
      </c>
      <c r="C52" s="43">
        <v>2003</v>
      </c>
      <c r="D52" s="584"/>
      <c r="E52" s="583"/>
      <c r="F52" s="370"/>
      <c r="G52" s="26">
        <f>'FORM B'!H70</f>
        <v>1078907.07</v>
      </c>
      <c r="H52" s="26"/>
      <c r="I52" s="17"/>
      <c r="K52" s="69"/>
      <c r="L52" s="7"/>
    </row>
    <row r="53" spans="1:12" x14ac:dyDescent="0.25">
      <c r="A53" s="43">
        <f t="shared" si="0"/>
        <v>55</v>
      </c>
      <c r="B53" s="132" t="s">
        <v>298</v>
      </c>
      <c r="C53" s="43">
        <v>2003</v>
      </c>
      <c r="D53" s="584"/>
      <c r="E53" s="583"/>
      <c r="F53" s="370"/>
      <c r="G53" s="26">
        <f>'FORM B'!H71</f>
        <v>1084698.57</v>
      </c>
      <c r="H53" s="26"/>
      <c r="I53" s="17"/>
      <c r="K53" s="69"/>
      <c r="L53" s="7"/>
    </row>
    <row r="54" spans="1:12" x14ac:dyDescent="0.25">
      <c r="A54" s="43">
        <f t="shared" si="0"/>
        <v>56</v>
      </c>
      <c r="B54" s="132" t="s">
        <v>299</v>
      </c>
      <c r="C54" s="43">
        <v>2003</v>
      </c>
      <c r="D54" s="584"/>
      <c r="E54" s="583"/>
      <c r="F54" s="370"/>
      <c r="G54" s="26">
        <f>'FORM B'!H72</f>
        <v>1109778.33</v>
      </c>
      <c r="H54" s="26"/>
      <c r="I54" s="17"/>
      <c r="K54" s="69"/>
      <c r="L54" s="7"/>
    </row>
    <row r="55" spans="1:12" x14ac:dyDescent="0.25">
      <c r="A55" s="43">
        <f t="shared" si="0"/>
        <v>57</v>
      </c>
      <c r="B55" s="132" t="s">
        <v>300</v>
      </c>
      <c r="C55" s="43">
        <v>2003</v>
      </c>
      <c r="D55" s="584"/>
      <c r="E55" s="583"/>
      <c r="F55" s="370"/>
      <c r="G55" s="26">
        <f>'FORM B'!H73</f>
        <v>941616.28</v>
      </c>
      <c r="H55" s="26"/>
      <c r="I55" s="17"/>
      <c r="K55" s="69"/>
      <c r="L55" s="7"/>
    </row>
    <row r="56" spans="1:12" x14ac:dyDescent="0.25">
      <c r="A56" s="43">
        <f t="shared" si="0"/>
        <v>58</v>
      </c>
      <c r="B56" s="132" t="s">
        <v>289</v>
      </c>
      <c r="C56" s="43">
        <v>2003</v>
      </c>
      <c r="D56" s="584"/>
      <c r="E56" s="583"/>
      <c r="F56" s="370"/>
      <c r="G56" s="26">
        <f>'FORM B'!H74</f>
        <v>959426.10000000021</v>
      </c>
      <c r="H56" s="26"/>
      <c r="I56" s="17"/>
      <c r="K56" s="69"/>
      <c r="L56" s="7"/>
    </row>
    <row r="57" spans="1:12" x14ac:dyDescent="0.25">
      <c r="A57" s="43">
        <f t="shared" si="0"/>
        <v>59</v>
      </c>
      <c r="B57" s="132" t="s">
        <v>290</v>
      </c>
      <c r="C57" s="43">
        <v>2003</v>
      </c>
      <c r="D57" s="584"/>
      <c r="E57" s="583"/>
      <c r="F57" s="370"/>
      <c r="G57" s="26">
        <f>'FORM B'!H75</f>
        <v>1054121.6100000001</v>
      </c>
      <c r="H57" s="26"/>
      <c r="I57" s="17"/>
      <c r="K57" s="69"/>
      <c r="L57" s="7"/>
    </row>
    <row r="58" spans="1:12" x14ac:dyDescent="0.25">
      <c r="A58" s="43">
        <f t="shared" si="0"/>
        <v>60</v>
      </c>
      <c r="B58" s="132" t="s">
        <v>291</v>
      </c>
      <c r="C58" s="43">
        <v>2003</v>
      </c>
      <c r="D58" s="584"/>
      <c r="E58" s="583"/>
      <c r="F58" s="370"/>
      <c r="G58" s="26">
        <f>'FORM B'!H76</f>
        <v>1000051.8600000002</v>
      </c>
      <c r="H58" s="26"/>
      <c r="I58" s="17"/>
      <c r="K58" s="69"/>
      <c r="L58" s="7"/>
    </row>
    <row r="59" spans="1:12" x14ac:dyDescent="0.25">
      <c r="A59" s="43">
        <f t="shared" si="0"/>
        <v>61</v>
      </c>
      <c r="B59" s="132" t="s">
        <v>292</v>
      </c>
      <c r="C59" s="43">
        <v>2003</v>
      </c>
      <c r="D59" s="584"/>
      <c r="E59" s="583"/>
      <c r="F59" s="370"/>
      <c r="G59" s="26">
        <f>'FORM B'!H77</f>
        <v>1039760.2000000001</v>
      </c>
      <c r="H59" s="26"/>
      <c r="I59" s="17"/>
      <c r="K59" s="69"/>
      <c r="L59" s="7"/>
    </row>
    <row r="60" spans="1:12" x14ac:dyDescent="0.25">
      <c r="A60" s="43">
        <f t="shared" si="0"/>
        <v>62</v>
      </c>
      <c r="B60" s="132" t="s">
        <v>293</v>
      </c>
      <c r="C60" s="43">
        <v>2003</v>
      </c>
      <c r="D60" s="584"/>
      <c r="E60" s="583"/>
      <c r="F60" s="370"/>
      <c r="G60" s="26">
        <f>'FORM B'!H78</f>
        <v>1038863.42</v>
      </c>
      <c r="H60" s="26"/>
      <c r="I60" s="17"/>
      <c r="K60" s="69"/>
      <c r="L60" s="7"/>
    </row>
    <row r="61" spans="1:12" x14ac:dyDescent="0.25">
      <c r="A61" s="43">
        <f t="shared" si="0"/>
        <v>63</v>
      </c>
      <c r="B61" s="132" t="s">
        <v>294</v>
      </c>
      <c r="C61" s="43">
        <v>2004</v>
      </c>
      <c r="D61" s="584"/>
      <c r="E61" s="583"/>
      <c r="F61" s="370"/>
      <c r="G61" s="26">
        <f>'FORM B'!H79</f>
        <v>1025505.29</v>
      </c>
      <c r="H61" s="26"/>
      <c r="I61" s="17"/>
      <c r="K61" s="69"/>
      <c r="L61" s="7"/>
    </row>
    <row r="62" spans="1:12" x14ac:dyDescent="0.25">
      <c r="A62" s="43">
        <f t="shared" si="0"/>
        <v>64</v>
      </c>
      <c r="B62" s="132" t="s">
        <v>295</v>
      </c>
      <c r="C62" s="43">
        <v>2004</v>
      </c>
      <c r="D62" s="584"/>
      <c r="E62" s="583"/>
      <c r="F62" s="370"/>
      <c r="G62" s="26">
        <f>'FORM B'!H80</f>
        <v>905891.31</v>
      </c>
      <c r="H62" s="26"/>
      <c r="I62" s="17"/>
      <c r="K62" s="69"/>
      <c r="L62" s="7"/>
    </row>
    <row r="63" spans="1:12" x14ac:dyDescent="0.25">
      <c r="A63" s="43">
        <f t="shared" si="0"/>
        <v>65</v>
      </c>
      <c r="B63" s="132" t="s">
        <v>296</v>
      </c>
      <c r="C63" s="43">
        <v>2004</v>
      </c>
      <c r="D63" s="584"/>
      <c r="E63" s="583"/>
      <c r="F63" s="370"/>
      <c r="G63" s="26">
        <f>'FORM B'!H81</f>
        <v>551937.57000000007</v>
      </c>
      <c r="H63" s="26"/>
      <c r="I63" s="17"/>
      <c r="K63" s="69"/>
      <c r="L63" s="7"/>
    </row>
    <row r="64" spans="1:12" x14ac:dyDescent="0.25">
      <c r="A64" s="43">
        <f t="shared" si="0"/>
        <v>66</v>
      </c>
      <c r="B64" s="132" t="s">
        <v>297</v>
      </c>
      <c r="C64" s="43">
        <v>2004</v>
      </c>
      <c r="D64" s="584"/>
      <c r="E64" s="583"/>
      <c r="F64" s="370"/>
      <c r="G64" s="26">
        <f>'FORM B'!H82</f>
        <v>1009176.1100000002</v>
      </c>
      <c r="H64" s="26"/>
      <c r="I64" s="17"/>
      <c r="K64" s="69"/>
      <c r="L64" s="7"/>
    </row>
    <row r="65" spans="1:12" x14ac:dyDescent="0.25">
      <c r="A65" s="43">
        <f t="shared" si="0"/>
        <v>67</v>
      </c>
      <c r="B65" s="132" t="s">
        <v>298</v>
      </c>
      <c r="C65" s="43">
        <v>2004</v>
      </c>
      <c r="D65" s="783">
        <v>82921</v>
      </c>
      <c r="E65" s="784">
        <v>82761.203125</v>
      </c>
      <c r="F65" s="370"/>
      <c r="G65" s="26">
        <f>'FORM B'!H83</f>
        <v>1178064.1800000002</v>
      </c>
      <c r="H65" s="26"/>
      <c r="I65" s="17"/>
      <c r="K65" s="69"/>
      <c r="L65" s="7"/>
    </row>
    <row r="66" spans="1:12" x14ac:dyDescent="0.25">
      <c r="A66" s="43">
        <f t="shared" si="0"/>
        <v>68</v>
      </c>
      <c r="B66" s="132" t="s">
        <v>299</v>
      </c>
      <c r="C66" s="43">
        <v>2004</v>
      </c>
      <c r="D66" s="783">
        <v>80209.1015625</v>
      </c>
      <c r="E66" s="784">
        <v>79858.5</v>
      </c>
      <c r="F66" s="370"/>
      <c r="G66" s="26">
        <f>'FORM B'!H84</f>
        <v>1029890.6000000002</v>
      </c>
      <c r="H66" s="26"/>
      <c r="I66" s="17"/>
      <c r="K66" s="69"/>
      <c r="L66" s="7"/>
    </row>
    <row r="67" spans="1:12" x14ac:dyDescent="0.25">
      <c r="A67" s="43">
        <f t="shared" si="0"/>
        <v>69</v>
      </c>
      <c r="B67" s="132" t="s">
        <v>300</v>
      </c>
      <c r="C67" s="43">
        <v>2004</v>
      </c>
      <c r="D67" s="783">
        <v>84907.8984375</v>
      </c>
      <c r="E67" s="784">
        <v>84739.8984375</v>
      </c>
      <c r="F67" s="370"/>
      <c r="G67" s="26">
        <f>'FORM B'!H85</f>
        <v>991602.66</v>
      </c>
      <c r="H67" s="26"/>
      <c r="I67" s="17"/>
      <c r="K67" s="69"/>
      <c r="L67" s="7"/>
    </row>
    <row r="68" spans="1:12" x14ac:dyDescent="0.25">
      <c r="A68" s="43">
        <f t="shared" si="0"/>
        <v>70</v>
      </c>
      <c r="B68" s="132" t="s">
        <v>289</v>
      </c>
      <c r="C68" s="43">
        <v>2004</v>
      </c>
      <c r="D68" s="783">
        <v>81169</v>
      </c>
      <c r="E68" s="784">
        <v>81128</v>
      </c>
      <c r="F68" s="370"/>
      <c r="G68" s="26">
        <f>'FORM B'!H86</f>
        <v>1124215.74</v>
      </c>
      <c r="H68" s="26"/>
      <c r="I68" s="17"/>
      <c r="K68" s="69"/>
      <c r="L68" s="7"/>
    </row>
    <row r="69" spans="1:12" x14ac:dyDescent="0.25">
      <c r="A69" s="43">
        <f t="shared" si="0"/>
        <v>71</v>
      </c>
      <c r="B69" s="132" t="s">
        <v>290</v>
      </c>
      <c r="C69" s="43">
        <v>2004</v>
      </c>
      <c r="D69" s="783">
        <v>80366.703125</v>
      </c>
      <c r="E69" s="784">
        <v>80296.3984375</v>
      </c>
      <c r="F69" s="370"/>
      <c r="G69" s="26">
        <f>'FORM B'!H87</f>
        <v>1035409.15</v>
      </c>
      <c r="H69" s="26"/>
      <c r="I69" s="17"/>
      <c r="K69" s="69"/>
      <c r="L69" s="7"/>
    </row>
    <row r="70" spans="1:12" x14ac:dyDescent="0.25">
      <c r="A70" s="43">
        <f t="shared" si="0"/>
        <v>72</v>
      </c>
      <c r="B70" s="132" t="s">
        <v>291</v>
      </c>
      <c r="C70" s="43">
        <v>2004</v>
      </c>
      <c r="D70" s="783">
        <v>82763.3984375</v>
      </c>
      <c r="E70" s="784">
        <v>82763.3984375</v>
      </c>
      <c r="F70" s="370"/>
      <c r="G70" s="26">
        <f>'FORM B'!H88</f>
        <v>1084676.72</v>
      </c>
      <c r="H70" s="26"/>
      <c r="I70" s="17"/>
      <c r="K70" s="69"/>
      <c r="L70" s="7"/>
    </row>
    <row r="71" spans="1:12" x14ac:dyDescent="0.25">
      <c r="A71" s="43">
        <f t="shared" si="0"/>
        <v>73</v>
      </c>
      <c r="B71" s="132" t="s">
        <v>292</v>
      </c>
      <c r="C71" s="43">
        <v>2004</v>
      </c>
      <c r="D71" s="783">
        <v>82353.6015625</v>
      </c>
      <c r="E71" s="784">
        <v>81481.8984375</v>
      </c>
      <c r="F71" s="370"/>
      <c r="G71" s="26">
        <f>'FORM B'!H89</f>
        <v>1143259.58</v>
      </c>
      <c r="H71" s="26"/>
      <c r="I71" s="17"/>
      <c r="K71" s="69"/>
      <c r="L71" s="7"/>
    </row>
    <row r="72" spans="1:12" x14ac:dyDescent="0.25">
      <c r="A72" s="43">
        <f t="shared" si="0"/>
        <v>74</v>
      </c>
      <c r="B72" s="132" t="s">
        <v>293</v>
      </c>
      <c r="C72" s="43">
        <v>2004</v>
      </c>
      <c r="D72" s="783">
        <v>79259.3984375</v>
      </c>
      <c r="E72" s="784">
        <v>78307.6015625</v>
      </c>
      <c r="F72" s="370"/>
      <c r="G72" s="26">
        <f>'FORM B'!H90</f>
        <v>1134642.82</v>
      </c>
      <c r="H72" s="26"/>
      <c r="I72" s="17"/>
      <c r="K72" s="69"/>
      <c r="L72" s="7"/>
    </row>
    <row r="73" spans="1:12" x14ac:dyDescent="0.25">
      <c r="A73" s="43">
        <f t="shared" si="0"/>
        <v>75</v>
      </c>
      <c r="B73" s="132" t="s">
        <v>294</v>
      </c>
      <c r="C73" s="43">
        <v>2005</v>
      </c>
      <c r="D73" s="783">
        <v>81169</v>
      </c>
      <c r="E73" s="784">
        <v>81169</v>
      </c>
      <c r="F73" s="370"/>
      <c r="G73" s="26">
        <f>'FORM B'!H91</f>
        <v>1185206.45</v>
      </c>
      <c r="H73" s="26"/>
      <c r="I73" s="17"/>
      <c r="K73" s="69"/>
      <c r="L73" s="7"/>
    </row>
    <row r="74" spans="1:12" x14ac:dyDescent="0.25">
      <c r="A74" s="43">
        <f t="shared" si="0"/>
        <v>76</v>
      </c>
      <c r="B74" s="132" t="s">
        <v>295</v>
      </c>
      <c r="C74" s="43">
        <v>2005</v>
      </c>
      <c r="D74" s="783">
        <v>76144.796875</v>
      </c>
      <c r="E74" s="784">
        <v>76144.796875</v>
      </c>
      <c r="F74" s="370"/>
      <c r="G74" s="26">
        <f>'FORM B'!H92</f>
        <v>1105175.3</v>
      </c>
      <c r="H74" s="26"/>
      <c r="I74" s="17"/>
      <c r="K74" s="69"/>
      <c r="L74" s="7"/>
    </row>
    <row r="75" spans="1:12" x14ac:dyDescent="0.25">
      <c r="A75" s="43">
        <f t="shared" si="0"/>
        <v>77</v>
      </c>
      <c r="B75" s="132" t="s">
        <v>296</v>
      </c>
      <c r="C75" s="43">
        <v>2005</v>
      </c>
      <c r="D75" s="783">
        <v>79182.1015625</v>
      </c>
      <c r="E75" s="784">
        <v>79076</v>
      </c>
      <c r="F75" s="370"/>
      <c r="G75" s="26">
        <f>'FORM B'!H93</f>
        <v>1048366</v>
      </c>
      <c r="H75" s="26"/>
      <c r="I75" s="17"/>
      <c r="K75" s="69"/>
      <c r="L75" s="7"/>
    </row>
    <row r="76" spans="1:12" x14ac:dyDescent="0.25">
      <c r="A76" s="43">
        <f t="shared" si="0"/>
        <v>78</v>
      </c>
      <c r="B76" s="132" t="s">
        <v>297</v>
      </c>
      <c r="C76" s="43">
        <v>2005</v>
      </c>
      <c r="D76" s="783">
        <v>79659</v>
      </c>
      <c r="E76" s="784">
        <v>79659</v>
      </c>
      <c r="F76" s="370"/>
      <c r="G76" s="26">
        <f>'FORM B'!H94</f>
        <v>1348637.01</v>
      </c>
      <c r="H76" s="26"/>
      <c r="I76" s="17"/>
      <c r="K76" s="69"/>
      <c r="L76" s="7"/>
    </row>
    <row r="77" spans="1:12" x14ac:dyDescent="0.25">
      <c r="A77" s="43">
        <f t="shared" si="0"/>
        <v>79</v>
      </c>
      <c r="B77" s="132" t="s">
        <v>298</v>
      </c>
      <c r="C77" s="43">
        <v>2005</v>
      </c>
      <c r="D77" s="783">
        <v>81169</v>
      </c>
      <c r="E77" s="784">
        <v>81071.5</v>
      </c>
      <c r="F77" s="370"/>
      <c r="G77" s="26">
        <f>'FORM B'!H95</f>
        <v>1318879.24</v>
      </c>
      <c r="H77" s="26"/>
      <c r="I77" s="17"/>
      <c r="K77" s="69"/>
      <c r="L77" s="7"/>
    </row>
    <row r="78" spans="1:12" x14ac:dyDescent="0.25">
      <c r="A78" s="43">
        <f t="shared" si="0"/>
        <v>80</v>
      </c>
      <c r="B78" s="132" t="s">
        <v>299</v>
      </c>
      <c r="C78" s="43">
        <v>2005</v>
      </c>
      <c r="D78" s="783">
        <v>80209.1015625</v>
      </c>
      <c r="E78" s="784">
        <v>79372.5</v>
      </c>
      <c r="F78" s="370"/>
      <c r="G78" s="26">
        <f>'FORM B'!H96</f>
        <v>1243268.3900000001</v>
      </c>
      <c r="H78" s="26"/>
      <c r="I78" s="17"/>
      <c r="K78" s="69"/>
      <c r="L78" s="7"/>
    </row>
    <row r="79" spans="1:12" x14ac:dyDescent="0.25">
      <c r="A79" s="43">
        <f t="shared" si="0"/>
        <v>81</v>
      </c>
      <c r="B79" s="132" t="s">
        <v>300</v>
      </c>
      <c r="C79" s="43">
        <v>2005</v>
      </c>
      <c r="D79" s="783">
        <v>82763.3984375</v>
      </c>
      <c r="E79" s="784">
        <v>82665.8984375</v>
      </c>
      <c r="F79" s="370"/>
      <c r="G79" s="26">
        <f>'FORM B'!H97</f>
        <v>1162022.75</v>
      </c>
      <c r="H79" s="26"/>
      <c r="I79" s="17"/>
      <c r="K79" s="69"/>
      <c r="L79" s="7"/>
    </row>
    <row r="80" spans="1:12" x14ac:dyDescent="0.25">
      <c r="A80" s="43">
        <f t="shared" si="0"/>
        <v>82</v>
      </c>
      <c r="B80" s="132" t="s">
        <v>289</v>
      </c>
      <c r="C80" s="43">
        <v>2005</v>
      </c>
      <c r="D80" s="783">
        <v>83313.5</v>
      </c>
      <c r="E80" s="784">
        <v>81155.6015625</v>
      </c>
      <c r="F80" s="370"/>
      <c r="G80" s="26">
        <f>'FORM B'!H98</f>
        <v>1118737.77</v>
      </c>
      <c r="H80" s="26"/>
      <c r="I80" s="17"/>
      <c r="K80" s="69"/>
      <c r="L80" s="7"/>
    </row>
    <row r="81" spans="1:12" x14ac:dyDescent="0.25">
      <c r="A81" s="43">
        <f t="shared" si="0"/>
        <v>83</v>
      </c>
      <c r="B81" s="132" t="s">
        <v>290</v>
      </c>
      <c r="C81" s="43">
        <v>2005</v>
      </c>
      <c r="D81" s="783">
        <v>82196</v>
      </c>
      <c r="E81" s="784">
        <v>82001</v>
      </c>
      <c r="F81" s="370"/>
      <c r="G81" s="26">
        <f>'FORM B'!H99</f>
        <v>1222785.4300000002</v>
      </c>
      <c r="H81" s="26"/>
      <c r="I81" s="17"/>
      <c r="K81" s="69"/>
      <c r="L81" s="7"/>
    </row>
    <row r="82" spans="1:12" x14ac:dyDescent="0.25">
      <c r="A82" s="43">
        <f t="shared" si="0"/>
        <v>84</v>
      </c>
      <c r="B82" s="132" t="s">
        <v>291</v>
      </c>
      <c r="C82" s="43">
        <v>2005</v>
      </c>
      <c r="D82" s="783">
        <v>82921</v>
      </c>
      <c r="E82" s="784">
        <v>82921</v>
      </c>
      <c r="F82" s="370"/>
      <c r="G82" s="26">
        <f>'FORM B'!H100</f>
        <v>1395439.74</v>
      </c>
      <c r="H82" s="26"/>
      <c r="I82" s="17"/>
      <c r="K82" s="69"/>
      <c r="L82" s="7"/>
    </row>
    <row r="83" spans="1:12" x14ac:dyDescent="0.25">
      <c r="A83" s="43">
        <f t="shared" si="0"/>
        <v>85</v>
      </c>
      <c r="B83" s="132" t="s">
        <v>292</v>
      </c>
      <c r="C83" s="43">
        <v>2005</v>
      </c>
      <c r="D83" s="783">
        <v>82353.6015625</v>
      </c>
      <c r="E83" s="784">
        <v>82353.6015625</v>
      </c>
      <c r="F83" s="370"/>
      <c r="G83" s="26">
        <f>'FORM B'!H101</f>
        <v>1272902.6700000002</v>
      </c>
      <c r="H83" s="26"/>
      <c r="I83" s="17"/>
      <c r="K83" s="69"/>
      <c r="L83" s="7"/>
    </row>
    <row r="84" spans="1:12" x14ac:dyDescent="0.25">
      <c r="A84" s="43">
        <f t="shared" si="0"/>
        <v>86</v>
      </c>
      <c r="B84" s="132" t="s">
        <v>293</v>
      </c>
      <c r="C84" s="43">
        <v>2005</v>
      </c>
      <c r="D84" s="783">
        <v>80776.5</v>
      </c>
      <c r="E84" s="784">
        <v>80776.5</v>
      </c>
      <c r="F84" s="370"/>
      <c r="G84" s="26">
        <f>'FORM B'!H102</f>
        <v>1329953.29</v>
      </c>
      <c r="H84" s="26"/>
      <c r="I84" s="17"/>
      <c r="K84" s="69"/>
      <c r="L84" s="7"/>
    </row>
    <row r="85" spans="1:12" x14ac:dyDescent="0.25">
      <c r="A85" s="43">
        <f t="shared" ref="A85:A148" si="1">A84+1</f>
        <v>87</v>
      </c>
      <c r="B85" s="132" t="s">
        <v>294</v>
      </c>
      <c r="C85" s="43">
        <v>2006</v>
      </c>
      <c r="D85" s="783">
        <v>81169</v>
      </c>
      <c r="E85" s="784">
        <v>78816</v>
      </c>
      <c r="F85" s="370"/>
      <c r="G85" s="26">
        <f>'FORM B'!H103</f>
        <v>1250632.3700000001</v>
      </c>
      <c r="H85" s="26"/>
      <c r="I85" s="17"/>
      <c r="K85" s="69"/>
      <c r="L85" s="7"/>
    </row>
    <row r="86" spans="1:12" x14ac:dyDescent="0.25">
      <c r="A86" s="43">
        <f t="shared" si="1"/>
        <v>88</v>
      </c>
      <c r="B86" s="132" t="s">
        <v>295</v>
      </c>
      <c r="C86" s="43">
        <v>2006</v>
      </c>
      <c r="D86" s="783">
        <v>76144.796875</v>
      </c>
      <c r="E86" s="784">
        <v>76144.796875</v>
      </c>
      <c r="F86" s="370"/>
      <c r="G86" s="26">
        <f>'FORM B'!H104</f>
        <v>1151136.5</v>
      </c>
      <c r="H86" s="26"/>
      <c r="I86" s="17"/>
      <c r="K86" s="69"/>
      <c r="L86" s="7"/>
    </row>
    <row r="87" spans="1:12" x14ac:dyDescent="0.25">
      <c r="A87" s="43">
        <f t="shared" si="1"/>
        <v>89</v>
      </c>
      <c r="B87" s="132" t="s">
        <v>296</v>
      </c>
      <c r="C87" s="43">
        <v>2006</v>
      </c>
      <c r="D87" s="783">
        <v>81011.3984375</v>
      </c>
      <c r="E87" s="784">
        <v>81011.3984375</v>
      </c>
      <c r="F87" s="370"/>
      <c r="G87" s="26">
        <f>'FORM B'!H105</f>
        <v>1222094.78</v>
      </c>
      <c r="H87" s="26"/>
      <c r="I87" s="17"/>
      <c r="K87" s="69"/>
      <c r="L87" s="7"/>
    </row>
    <row r="88" spans="1:12" x14ac:dyDescent="0.25">
      <c r="A88" s="43">
        <f t="shared" si="1"/>
        <v>90</v>
      </c>
      <c r="B88" s="132" t="s">
        <v>297</v>
      </c>
      <c r="C88" s="43">
        <v>2006</v>
      </c>
      <c r="D88" s="783">
        <v>73540.703125</v>
      </c>
      <c r="E88" s="784">
        <v>73540.703125</v>
      </c>
      <c r="F88" s="370"/>
      <c r="G88" s="26">
        <f>'FORM B'!H106</f>
        <v>1226600.4200000002</v>
      </c>
      <c r="H88" s="26"/>
      <c r="I88" s="17"/>
      <c r="K88" s="69"/>
      <c r="L88" s="7"/>
    </row>
    <row r="89" spans="1:12" x14ac:dyDescent="0.25">
      <c r="A89" s="43">
        <f t="shared" si="1"/>
        <v>91</v>
      </c>
      <c r="B89" s="132" t="s">
        <v>298</v>
      </c>
      <c r="C89" s="43">
        <v>2006</v>
      </c>
      <c r="D89" s="783">
        <v>83313.5</v>
      </c>
      <c r="E89" s="784">
        <v>83313.5</v>
      </c>
      <c r="F89" s="370"/>
      <c r="G89" s="26">
        <f>'FORM B'!H107</f>
        <v>1257311.97</v>
      </c>
      <c r="H89" s="26"/>
      <c r="I89" s="17"/>
      <c r="K89" s="69"/>
      <c r="L89" s="7"/>
    </row>
    <row r="90" spans="1:12" x14ac:dyDescent="0.25">
      <c r="A90" s="43">
        <f t="shared" si="1"/>
        <v>92</v>
      </c>
      <c r="B90" s="132" t="s">
        <v>299</v>
      </c>
      <c r="C90" s="43">
        <v>2006</v>
      </c>
      <c r="D90" s="783">
        <v>80209.1015625</v>
      </c>
      <c r="E90" s="784">
        <v>79916.6015625</v>
      </c>
      <c r="F90" s="370"/>
      <c r="G90" s="26">
        <f>'FORM B'!H108</f>
        <v>1352555.09</v>
      </c>
      <c r="H90" s="26"/>
      <c r="I90" s="17"/>
      <c r="K90" s="69"/>
      <c r="L90" s="7"/>
    </row>
    <row r="91" spans="1:12" x14ac:dyDescent="0.25">
      <c r="A91" s="43">
        <f t="shared" si="1"/>
        <v>93</v>
      </c>
      <c r="B91" s="132" t="s">
        <v>300</v>
      </c>
      <c r="C91" s="43">
        <v>2006</v>
      </c>
      <c r="D91" s="783">
        <v>82921</v>
      </c>
      <c r="E91" s="784">
        <v>82921</v>
      </c>
      <c r="F91" s="370"/>
      <c r="G91" s="26">
        <f>'FORM B'!H109</f>
        <v>1340624.53</v>
      </c>
      <c r="H91" s="26"/>
      <c r="I91" s="17"/>
      <c r="K91" s="69"/>
      <c r="L91" s="7"/>
    </row>
    <row r="92" spans="1:12" x14ac:dyDescent="0.25">
      <c r="A92" s="43">
        <f t="shared" si="1"/>
        <v>94</v>
      </c>
      <c r="B92" s="132" t="s">
        <v>289</v>
      </c>
      <c r="C92" s="43">
        <v>2006</v>
      </c>
      <c r="D92" s="783">
        <v>83313.5</v>
      </c>
      <c r="E92" s="784">
        <v>82454.6015625</v>
      </c>
      <c r="F92" s="370"/>
      <c r="G92" s="26">
        <f>'FORM B'!H110</f>
        <v>1418793.06</v>
      </c>
      <c r="H92" s="26"/>
      <c r="I92" s="17"/>
      <c r="K92" s="69"/>
      <c r="L92" s="7"/>
    </row>
    <row r="93" spans="1:12" x14ac:dyDescent="0.25">
      <c r="A93" s="43">
        <f t="shared" si="1"/>
        <v>95</v>
      </c>
      <c r="B93" s="132" t="s">
        <v>290</v>
      </c>
      <c r="C93" s="43">
        <v>2006</v>
      </c>
      <c r="D93" s="783">
        <v>79659</v>
      </c>
      <c r="E93" s="784">
        <v>79659</v>
      </c>
      <c r="F93" s="370"/>
      <c r="G93" s="26">
        <f>'FORM B'!H111</f>
        <v>1503050.57</v>
      </c>
      <c r="H93" s="26"/>
      <c r="I93" s="17"/>
      <c r="K93" s="69"/>
      <c r="L93" s="7"/>
    </row>
    <row r="94" spans="1:12" x14ac:dyDescent="0.25">
      <c r="A94" s="43">
        <f t="shared" si="1"/>
        <v>96</v>
      </c>
      <c r="B94" s="132" t="s">
        <v>291</v>
      </c>
      <c r="C94" s="43">
        <v>2006</v>
      </c>
      <c r="D94" s="783">
        <v>83313.5</v>
      </c>
      <c r="E94" s="784">
        <v>81612.203125</v>
      </c>
      <c r="F94" s="370"/>
      <c r="G94" s="26">
        <f>'FORM B'!H112</f>
        <v>1564535.4300000004</v>
      </c>
      <c r="H94" s="26"/>
      <c r="I94" s="17"/>
      <c r="K94" s="69"/>
      <c r="L94" s="7"/>
    </row>
    <row r="95" spans="1:12" x14ac:dyDescent="0.25">
      <c r="A95" s="43">
        <f t="shared" si="1"/>
        <v>97</v>
      </c>
      <c r="B95" s="132" t="s">
        <v>292</v>
      </c>
      <c r="C95" s="43">
        <v>2006</v>
      </c>
      <c r="D95" s="783">
        <v>82353.6015625</v>
      </c>
      <c r="E95" s="784">
        <v>81342.8984375</v>
      </c>
      <c r="F95" s="370"/>
      <c r="G95" s="26">
        <f>'FORM B'!H113</f>
        <v>1431262.9300000004</v>
      </c>
      <c r="H95" s="26"/>
      <c r="I95" s="17"/>
      <c r="K95" s="69"/>
      <c r="L95" s="7"/>
    </row>
    <row r="96" spans="1:12" x14ac:dyDescent="0.25">
      <c r="A96" s="43">
        <f t="shared" si="1"/>
        <v>98</v>
      </c>
      <c r="B96" s="132" t="s">
        <v>293</v>
      </c>
      <c r="C96" s="43">
        <v>2006</v>
      </c>
      <c r="D96" s="783">
        <v>76722.3984375</v>
      </c>
      <c r="E96" s="784">
        <v>75270.703125</v>
      </c>
      <c r="F96" s="370"/>
      <c r="G96" s="26">
        <f>'FORM B'!H114</f>
        <v>1346906.6</v>
      </c>
      <c r="H96" s="26"/>
      <c r="I96" s="17"/>
      <c r="K96" s="69"/>
      <c r="L96" s="7"/>
    </row>
    <row r="97" spans="1:12" x14ac:dyDescent="0.25">
      <c r="A97" s="43">
        <f t="shared" si="1"/>
        <v>99</v>
      </c>
      <c r="B97" s="132" t="s">
        <v>294</v>
      </c>
      <c r="C97" s="43">
        <v>2007</v>
      </c>
      <c r="D97" s="783">
        <v>83313.5</v>
      </c>
      <c r="E97" s="784">
        <v>83313.5</v>
      </c>
      <c r="F97" s="370"/>
      <c r="G97" s="26">
        <f>'FORM B'!H115</f>
        <v>1386248.74</v>
      </c>
      <c r="H97" s="26"/>
      <c r="I97" s="17"/>
      <c r="K97" s="69"/>
      <c r="L97" s="7"/>
    </row>
    <row r="98" spans="1:12" x14ac:dyDescent="0.25">
      <c r="A98" s="43">
        <f t="shared" si="1"/>
        <v>100</v>
      </c>
      <c r="B98" s="132" t="s">
        <v>295</v>
      </c>
      <c r="C98" s="43">
        <v>2007</v>
      </c>
      <c r="D98" s="783">
        <v>76144.796875</v>
      </c>
      <c r="E98" s="784">
        <v>75664.796875</v>
      </c>
      <c r="F98" s="370"/>
      <c r="G98" s="26">
        <f>'FORM B'!H116</f>
        <v>1341067.33</v>
      </c>
      <c r="H98" s="26"/>
      <c r="I98" s="17"/>
      <c r="K98" s="69"/>
      <c r="L98" s="7"/>
    </row>
    <row r="99" spans="1:12" x14ac:dyDescent="0.25">
      <c r="A99" s="43">
        <f t="shared" si="1"/>
        <v>101</v>
      </c>
      <c r="B99" s="132" t="s">
        <v>296</v>
      </c>
      <c r="C99" s="43">
        <v>2007</v>
      </c>
      <c r="D99" s="783">
        <v>82763.3984375</v>
      </c>
      <c r="E99" s="784">
        <v>82763.3984375</v>
      </c>
      <c r="F99" s="370"/>
      <c r="G99" s="26">
        <f>'FORM B'!H117</f>
        <v>1317277.98</v>
      </c>
      <c r="H99" s="26"/>
      <c r="I99" s="17"/>
      <c r="K99" s="69"/>
      <c r="L99" s="7"/>
    </row>
    <row r="100" spans="1:12" x14ac:dyDescent="0.25">
      <c r="A100" s="43">
        <f t="shared" si="1"/>
        <v>102</v>
      </c>
      <c r="B100" s="132" t="s">
        <v>297</v>
      </c>
      <c r="C100" s="43">
        <v>2007</v>
      </c>
      <c r="D100" s="783">
        <v>74090.796875</v>
      </c>
      <c r="E100" s="784">
        <v>74090.796875</v>
      </c>
      <c r="F100" s="370"/>
      <c r="G100" s="26">
        <f>'FORM B'!H118</f>
        <v>1326811.54</v>
      </c>
      <c r="H100" s="26"/>
      <c r="I100" s="17"/>
      <c r="K100" s="69"/>
      <c r="L100" s="7"/>
    </row>
    <row r="101" spans="1:12" x14ac:dyDescent="0.25">
      <c r="A101" s="43">
        <f t="shared" si="1"/>
        <v>103</v>
      </c>
      <c r="B101" s="132" t="s">
        <v>298</v>
      </c>
      <c r="C101" s="43">
        <v>2007</v>
      </c>
      <c r="D101" s="783">
        <v>83313.5</v>
      </c>
      <c r="E101" s="784">
        <v>83313.5</v>
      </c>
      <c r="F101" s="370"/>
      <c r="G101" s="26">
        <f>'FORM B'!H119</f>
        <v>1389597.86</v>
      </c>
      <c r="H101" s="26"/>
      <c r="I101" s="17"/>
      <c r="K101" s="69"/>
      <c r="L101" s="7"/>
    </row>
    <row r="102" spans="1:12" x14ac:dyDescent="0.25">
      <c r="A102" s="43">
        <f t="shared" si="1"/>
        <v>104</v>
      </c>
      <c r="B102" s="132" t="s">
        <v>299</v>
      </c>
      <c r="C102" s="43">
        <v>2007</v>
      </c>
      <c r="D102" s="783">
        <v>80051.5</v>
      </c>
      <c r="E102" s="784">
        <v>79661.5</v>
      </c>
      <c r="F102" s="370"/>
      <c r="G102" s="26">
        <f>'FORM B'!H120</f>
        <v>1432126.58</v>
      </c>
      <c r="H102" s="26"/>
      <c r="I102" s="17"/>
      <c r="K102" s="69"/>
      <c r="L102" s="7"/>
    </row>
    <row r="103" spans="1:12" x14ac:dyDescent="0.25">
      <c r="A103" s="43">
        <f t="shared" si="1"/>
        <v>105</v>
      </c>
      <c r="B103" s="132" t="s">
        <v>300</v>
      </c>
      <c r="C103" s="43">
        <v>2007</v>
      </c>
      <c r="D103" s="783">
        <v>83313.5</v>
      </c>
      <c r="E103" s="784">
        <v>83313.5</v>
      </c>
      <c r="F103" s="370"/>
      <c r="G103" s="26">
        <f>'FORM B'!H121</f>
        <v>1420460.09</v>
      </c>
      <c r="H103" s="26"/>
      <c r="I103" s="17"/>
      <c r="K103" s="69"/>
      <c r="L103" s="7"/>
    </row>
    <row r="104" spans="1:12" x14ac:dyDescent="0.25">
      <c r="A104" s="43">
        <f t="shared" si="1"/>
        <v>106</v>
      </c>
      <c r="B104" s="132" t="s">
        <v>289</v>
      </c>
      <c r="C104" s="43">
        <v>2007</v>
      </c>
      <c r="D104" s="783">
        <v>83155.8984375</v>
      </c>
      <c r="E104" s="784">
        <v>83155.8984375</v>
      </c>
      <c r="F104" s="370"/>
      <c r="G104" s="26">
        <f>'FORM B'!H122</f>
        <v>1454669.45</v>
      </c>
      <c r="H104" s="26"/>
      <c r="I104" s="17"/>
      <c r="K104" s="69"/>
      <c r="L104" s="7"/>
    </row>
    <row r="105" spans="1:12" x14ac:dyDescent="0.25">
      <c r="A105" s="43">
        <f t="shared" si="1"/>
        <v>107</v>
      </c>
      <c r="B105" s="132" t="s">
        <v>290</v>
      </c>
      <c r="C105" s="43">
        <v>2007</v>
      </c>
      <c r="D105" s="783">
        <v>77672.1015625</v>
      </c>
      <c r="E105" s="784">
        <v>72019.8984375</v>
      </c>
      <c r="F105" s="370"/>
      <c r="G105" s="26">
        <f>'FORM B'!H123</f>
        <v>1539302.28</v>
      </c>
      <c r="H105" s="26"/>
      <c r="I105" s="17"/>
      <c r="K105" s="69"/>
      <c r="L105" s="7"/>
    </row>
    <row r="106" spans="1:12" x14ac:dyDescent="0.25">
      <c r="A106" s="43">
        <f t="shared" si="1"/>
        <v>108</v>
      </c>
      <c r="B106" s="132" t="s">
        <v>291</v>
      </c>
      <c r="C106" s="43">
        <v>2007</v>
      </c>
      <c r="D106" s="783">
        <v>85458</v>
      </c>
      <c r="E106" s="784">
        <v>82902.5</v>
      </c>
      <c r="F106" s="370"/>
      <c r="G106" s="26">
        <f>'FORM B'!H124</f>
        <v>1319324.52</v>
      </c>
      <c r="H106" s="26"/>
      <c r="I106" s="17"/>
      <c r="K106" s="69"/>
      <c r="L106" s="7"/>
    </row>
    <row r="107" spans="1:12" x14ac:dyDescent="0.25">
      <c r="A107" s="43">
        <f t="shared" si="1"/>
        <v>109</v>
      </c>
      <c r="B107" s="132" t="s">
        <v>292</v>
      </c>
      <c r="C107" s="43">
        <v>2007</v>
      </c>
      <c r="D107" s="783">
        <v>82196</v>
      </c>
      <c r="E107" s="784">
        <v>79048.5</v>
      </c>
      <c r="F107" s="370"/>
      <c r="G107" s="26">
        <f>'FORM B'!H125</f>
        <v>1491514.1</v>
      </c>
      <c r="H107" s="26"/>
      <c r="I107" s="17"/>
      <c r="K107" s="69"/>
      <c r="L107" s="7"/>
    </row>
    <row r="108" spans="1:12" x14ac:dyDescent="0.25">
      <c r="A108" s="43">
        <f t="shared" si="1"/>
        <v>110</v>
      </c>
      <c r="B108" s="132" t="s">
        <v>293</v>
      </c>
      <c r="C108" s="43">
        <v>2007</v>
      </c>
      <c r="D108" s="783">
        <v>76487.5</v>
      </c>
      <c r="E108" s="784">
        <v>76292.5</v>
      </c>
      <c r="F108" s="370"/>
      <c r="G108" s="26">
        <f>'FORM B'!H126</f>
        <v>1546081.4000000001</v>
      </c>
      <c r="H108" s="26"/>
      <c r="I108" s="17"/>
      <c r="K108" s="69"/>
      <c r="L108" s="7"/>
    </row>
    <row r="109" spans="1:12" x14ac:dyDescent="0.25">
      <c r="A109" s="43">
        <f t="shared" si="1"/>
        <v>111</v>
      </c>
      <c r="B109" s="132" t="s">
        <v>294</v>
      </c>
      <c r="C109" s="43">
        <v>2008</v>
      </c>
      <c r="D109" s="783">
        <v>83313.5</v>
      </c>
      <c r="E109" s="784">
        <v>83313.5</v>
      </c>
      <c r="F109" s="370"/>
      <c r="G109" s="26">
        <f>'FORM B'!H127</f>
        <v>1511448.34</v>
      </c>
      <c r="H109" s="26"/>
      <c r="I109" s="17"/>
      <c r="K109" s="69"/>
      <c r="L109" s="7"/>
    </row>
    <row r="110" spans="1:12" x14ac:dyDescent="0.25">
      <c r="A110" s="43">
        <f t="shared" si="1"/>
        <v>112</v>
      </c>
      <c r="B110" s="132" t="s">
        <v>295</v>
      </c>
      <c r="C110" s="43">
        <v>2008</v>
      </c>
      <c r="D110" s="783">
        <v>79091.6015625</v>
      </c>
      <c r="E110" s="784">
        <v>79091.6015625</v>
      </c>
      <c r="F110" s="370"/>
      <c r="G110" s="26">
        <f>'FORM B'!H128</f>
        <v>1626766.34</v>
      </c>
      <c r="H110" s="26"/>
      <c r="I110" s="17"/>
      <c r="K110" s="69"/>
      <c r="L110" s="7"/>
    </row>
    <row r="111" spans="1:12" x14ac:dyDescent="0.25">
      <c r="A111" s="43">
        <f t="shared" si="1"/>
        <v>113</v>
      </c>
      <c r="B111" s="132" t="s">
        <v>296</v>
      </c>
      <c r="C111" s="43">
        <v>2008</v>
      </c>
      <c r="D111" s="783">
        <v>78789.6015625</v>
      </c>
      <c r="E111" s="784">
        <v>78789.6015625</v>
      </c>
      <c r="F111" s="370"/>
      <c r="G111" s="26">
        <f>'FORM B'!H129</f>
        <v>1640634.03</v>
      </c>
      <c r="H111" s="26"/>
      <c r="I111" s="17"/>
      <c r="K111" s="69"/>
      <c r="L111" s="7"/>
    </row>
    <row r="112" spans="1:12" x14ac:dyDescent="0.25">
      <c r="A112" s="43">
        <f t="shared" si="1"/>
        <v>114</v>
      </c>
      <c r="B112" s="132" t="s">
        <v>297</v>
      </c>
      <c r="C112" s="43">
        <v>2008</v>
      </c>
      <c r="D112" s="783">
        <v>80209.1015625</v>
      </c>
      <c r="E112" s="784">
        <v>79819.1015625</v>
      </c>
      <c r="F112" s="370"/>
      <c r="G112" s="26">
        <f>'FORM B'!H130</f>
        <v>1715644.72</v>
      </c>
      <c r="H112" s="26"/>
      <c r="I112" s="17"/>
      <c r="K112" s="69"/>
      <c r="L112" s="7"/>
    </row>
    <row r="113" spans="1:12" x14ac:dyDescent="0.25">
      <c r="A113" s="43">
        <f t="shared" si="1"/>
        <v>115</v>
      </c>
      <c r="B113" s="132" t="s">
        <v>298</v>
      </c>
      <c r="C113" s="43">
        <v>2008</v>
      </c>
      <c r="D113" s="783">
        <v>80776.5</v>
      </c>
      <c r="E113" s="784">
        <v>79568.1015625</v>
      </c>
      <c r="F113" s="370"/>
      <c r="G113" s="26">
        <f>'FORM B'!H131</f>
        <v>1588453.26</v>
      </c>
      <c r="H113" s="26"/>
      <c r="I113" s="17"/>
      <c r="K113" s="69"/>
      <c r="L113" s="7"/>
    </row>
    <row r="114" spans="1:12" x14ac:dyDescent="0.25">
      <c r="A114" s="43">
        <f t="shared" si="1"/>
        <v>116</v>
      </c>
      <c r="B114" s="132" t="s">
        <v>299</v>
      </c>
      <c r="C114" s="43">
        <v>2008</v>
      </c>
      <c r="D114" s="783">
        <v>78064.6015625</v>
      </c>
      <c r="E114" s="784">
        <v>76869.3984375</v>
      </c>
      <c r="F114" s="370"/>
      <c r="G114" s="26">
        <f>'FORM B'!H132</f>
        <v>2191411.9900000002</v>
      </c>
      <c r="H114" s="26"/>
      <c r="I114" s="17"/>
      <c r="K114" s="69"/>
      <c r="L114" s="7"/>
    </row>
    <row r="115" spans="1:12" x14ac:dyDescent="0.25">
      <c r="A115" s="43">
        <f t="shared" si="1"/>
        <v>117</v>
      </c>
      <c r="B115" s="132" t="s">
        <v>300</v>
      </c>
      <c r="C115" s="43">
        <v>2008</v>
      </c>
      <c r="D115" s="783">
        <v>85458</v>
      </c>
      <c r="E115" s="784">
        <v>85340.5</v>
      </c>
      <c r="F115" s="370"/>
      <c r="G115" s="26">
        <f>'FORM B'!H133</f>
        <v>2151526.4900000002</v>
      </c>
      <c r="H115" s="26"/>
      <c r="I115" s="17"/>
      <c r="K115" s="69"/>
      <c r="L115" s="7"/>
    </row>
    <row r="116" spans="1:12" x14ac:dyDescent="0.25">
      <c r="A116" s="43">
        <f t="shared" si="1"/>
        <v>118</v>
      </c>
      <c r="B116" s="132" t="s">
        <v>289</v>
      </c>
      <c r="C116" s="43">
        <v>2008</v>
      </c>
      <c r="D116" s="783">
        <v>81011.3984375</v>
      </c>
      <c r="E116" s="784">
        <v>77907</v>
      </c>
      <c r="F116" s="370"/>
      <c r="G116" s="26">
        <f>'FORM B'!H134</f>
        <v>2155934.98</v>
      </c>
      <c r="H116" s="26"/>
      <c r="I116" s="17"/>
      <c r="K116" s="69"/>
      <c r="L116" s="7"/>
    </row>
    <row r="117" spans="1:12" x14ac:dyDescent="0.25">
      <c r="A117" s="43">
        <f t="shared" si="1"/>
        <v>119</v>
      </c>
      <c r="B117" s="132" t="s">
        <v>290</v>
      </c>
      <c r="C117" s="43">
        <v>2008</v>
      </c>
      <c r="D117" s="783">
        <v>80209.1015625</v>
      </c>
      <c r="E117" s="784">
        <v>79504.6015625</v>
      </c>
      <c r="F117" s="370"/>
      <c r="G117" s="26">
        <f>'FORM B'!H135</f>
        <v>2094554.6500000001</v>
      </c>
      <c r="H117" s="26"/>
      <c r="I117" s="17"/>
      <c r="K117" s="69"/>
      <c r="L117" s="7"/>
    </row>
    <row r="118" spans="1:12" x14ac:dyDescent="0.25">
      <c r="A118" s="43">
        <f t="shared" si="1"/>
        <v>120</v>
      </c>
      <c r="B118" s="132" t="s">
        <v>291</v>
      </c>
      <c r="C118" s="43">
        <v>2008</v>
      </c>
      <c r="D118" s="783">
        <v>85300.3984375</v>
      </c>
      <c r="E118" s="784">
        <v>84877.5</v>
      </c>
      <c r="F118" s="370"/>
      <c r="G118" s="26">
        <f>'FORM B'!H136</f>
        <v>1663269.73</v>
      </c>
      <c r="H118" s="26"/>
      <c r="I118" s="17"/>
      <c r="K118" s="69"/>
      <c r="L118" s="7"/>
    </row>
    <row r="119" spans="1:12" x14ac:dyDescent="0.25">
      <c r="A119" s="43">
        <f t="shared" si="1"/>
        <v>121</v>
      </c>
      <c r="B119" s="132" t="s">
        <v>292</v>
      </c>
      <c r="C119" s="43">
        <v>2008</v>
      </c>
      <c r="D119" s="783">
        <v>79816.6015625</v>
      </c>
      <c r="E119" s="784">
        <v>76613.5</v>
      </c>
      <c r="F119" s="370"/>
      <c r="G119" s="26">
        <f>'FORM B'!H137</f>
        <v>1716599.06</v>
      </c>
      <c r="H119" s="26"/>
      <c r="I119" s="17"/>
      <c r="K119" s="69"/>
      <c r="L119" s="7"/>
    </row>
    <row r="120" spans="1:12" x14ac:dyDescent="0.25">
      <c r="A120" s="43">
        <f t="shared" si="1"/>
        <v>122</v>
      </c>
      <c r="B120" s="132" t="s">
        <v>293</v>
      </c>
      <c r="C120" s="43">
        <v>2008</v>
      </c>
      <c r="D120" s="783">
        <v>79182.1015625</v>
      </c>
      <c r="E120" s="784">
        <v>78129.1015625</v>
      </c>
      <c r="F120" s="370"/>
      <c r="G120" s="26">
        <f>'FORM B'!H138</f>
        <v>1855861.24</v>
      </c>
      <c r="H120" s="26"/>
      <c r="I120" s="17"/>
      <c r="K120" s="69"/>
      <c r="L120" s="7"/>
    </row>
    <row r="121" spans="1:12" x14ac:dyDescent="0.25">
      <c r="A121" s="43">
        <f t="shared" si="1"/>
        <v>123</v>
      </c>
      <c r="B121" s="132" t="s">
        <v>294</v>
      </c>
      <c r="C121" s="43">
        <v>2009</v>
      </c>
      <c r="D121" s="783">
        <v>82763.3984375</v>
      </c>
      <c r="E121" s="784">
        <v>80920.1015625</v>
      </c>
      <c r="F121" s="370"/>
      <c r="G121" s="26">
        <f>'FORM B'!H139</f>
        <v>1704716.4200000004</v>
      </c>
      <c r="H121" s="26"/>
      <c r="I121" s="17"/>
      <c r="K121" s="69"/>
      <c r="L121" s="7"/>
    </row>
    <row r="122" spans="1:12" x14ac:dyDescent="0.25">
      <c r="A122" s="43">
        <f t="shared" si="1"/>
        <v>124</v>
      </c>
      <c r="B122" s="132" t="s">
        <v>295</v>
      </c>
      <c r="C122" s="43">
        <v>2009</v>
      </c>
      <c r="D122" s="783">
        <v>76144.796875</v>
      </c>
      <c r="E122" s="784">
        <v>71270.8984375</v>
      </c>
      <c r="F122" s="370"/>
      <c r="G122" s="26">
        <f>'FORM B'!H140</f>
        <v>1448878.34</v>
      </c>
      <c r="H122" s="26"/>
      <c r="I122" s="17"/>
      <c r="K122" s="69"/>
      <c r="L122" s="7"/>
    </row>
    <row r="123" spans="1:12" x14ac:dyDescent="0.25">
      <c r="A123" s="43">
        <f t="shared" si="1"/>
        <v>125</v>
      </c>
      <c r="B123" s="132" t="s">
        <v>296</v>
      </c>
      <c r="C123" s="43">
        <v>2009</v>
      </c>
      <c r="D123" s="783">
        <v>81561.5</v>
      </c>
      <c r="E123" s="784">
        <v>80979.703125</v>
      </c>
      <c r="F123" s="370"/>
      <c r="G123" s="26">
        <f>'FORM B'!H141</f>
        <v>1576731.34</v>
      </c>
      <c r="H123" s="26"/>
      <c r="I123" s="17"/>
      <c r="K123" s="69"/>
      <c r="L123" s="7"/>
    </row>
    <row r="124" spans="1:12" x14ac:dyDescent="0.25">
      <c r="A124" s="43">
        <f t="shared" si="1"/>
        <v>126</v>
      </c>
      <c r="B124" s="132" t="s">
        <v>297</v>
      </c>
      <c r="C124" s="43">
        <v>2009</v>
      </c>
      <c r="D124" s="783">
        <v>73933.203125</v>
      </c>
      <c r="E124" s="784">
        <v>73933.203125</v>
      </c>
      <c r="F124" s="370"/>
      <c r="G124" s="26">
        <f>'FORM B'!H142</f>
        <v>1597924.74</v>
      </c>
      <c r="H124" s="26"/>
      <c r="I124" s="17"/>
      <c r="K124" s="69"/>
      <c r="L124" s="7"/>
    </row>
    <row r="125" spans="1:12" x14ac:dyDescent="0.25">
      <c r="A125" s="43">
        <f t="shared" si="1"/>
        <v>127</v>
      </c>
      <c r="B125" s="132" t="s">
        <v>298</v>
      </c>
      <c r="C125" s="43">
        <v>2009</v>
      </c>
      <c r="D125" s="783">
        <v>80776.5</v>
      </c>
      <c r="E125" s="784">
        <v>80186.203125</v>
      </c>
      <c r="F125" s="370"/>
      <c r="G125" s="26">
        <f>'FORM B'!H143</f>
        <v>1561537.2000000004</v>
      </c>
      <c r="H125" s="26"/>
      <c r="I125" s="17"/>
      <c r="K125" s="69"/>
      <c r="L125" s="7"/>
    </row>
    <row r="126" spans="1:12" x14ac:dyDescent="0.25">
      <c r="A126" s="43">
        <f t="shared" si="1"/>
        <v>128</v>
      </c>
      <c r="B126" s="132" t="s">
        <v>299</v>
      </c>
      <c r="C126" s="43">
        <v>2009</v>
      </c>
      <c r="D126" s="783">
        <v>80209.1015625</v>
      </c>
      <c r="E126" s="784">
        <v>78637.6015625</v>
      </c>
      <c r="F126" s="370"/>
      <c r="G126" s="26">
        <f>'FORM B'!H144</f>
        <v>1523425.33</v>
      </c>
      <c r="H126" s="26"/>
      <c r="I126" s="17"/>
      <c r="K126" s="69"/>
      <c r="L126" s="7"/>
    </row>
    <row r="127" spans="1:12" x14ac:dyDescent="0.25">
      <c r="A127" s="43">
        <f t="shared" si="1"/>
        <v>129</v>
      </c>
      <c r="B127" s="132" t="s">
        <v>300</v>
      </c>
      <c r="C127" s="43">
        <v>2009</v>
      </c>
      <c r="D127" s="783">
        <v>85300.3984375</v>
      </c>
      <c r="E127" s="784">
        <v>85057.6015625</v>
      </c>
      <c r="F127" s="370"/>
      <c r="G127" s="26">
        <f>'FORM B'!H145</f>
        <v>1513393.1700000004</v>
      </c>
      <c r="H127" s="26"/>
      <c r="I127" s="17"/>
      <c r="K127" s="69"/>
      <c r="L127" s="7"/>
    </row>
    <row r="128" spans="1:12" x14ac:dyDescent="0.25">
      <c r="A128" s="43">
        <f t="shared" si="1"/>
        <v>130</v>
      </c>
      <c r="B128" s="132" t="s">
        <v>289</v>
      </c>
      <c r="C128" s="43">
        <v>2009</v>
      </c>
      <c r="D128" s="783">
        <v>80776.5</v>
      </c>
      <c r="E128" s="784">
        <v>78941.6015625</v>
      </c>
      <c r="F128" s="370"/>
      <c r="G128" s="26">
        <f>'FORM B'!H146</f>
        <v>1497080.24</v>
      </c>
      <c r="H128" s="26"/>
      <c r="I128" s="17"/>
      <c r="K128" s="69"/>
      <c r="L128" s="7"/>
    </row>
    <row r="129" spans="1:12" x14ac:dyDescent="0.25">
      <c r="A129" s="43">
        <f t="shared" si="1"/>
        <v>131</v>
      </c>
      <c r="B129" s="132" t="s">
        <v>290</v>
      </c>
      <c r="C129" s="43">
        <v>2009</v>
      </c>
      <c r="D129" s="783">
        <v>80209.1015625</v>
      </c>
      <c r="E129" s="784">
        <v>79567.703125</v>
      </c>
      <c r="F129" s="370"/>
      <c r="G129" s="26">
        <f>'FORM B'!H147</f>
        <v>1517409.5</v>
      </c>
      <c r="H129" s="26"/>
      <c r="I129" s="17"/>
      <c r="K129" s="69"/>
      <c r="L129" s="7"/>
    </row>
    <row r="130" spans="1:12" x14ac:dyDescent="0.25">
      <c r="A130" s="43">
        <f t="shared" si="1"/>
        <v>132</v>
      </c>
      <c r="B130" s="132" t="s">
        <v>291</v>
      </c>
      <c r="C130" s="43">
        <v>2009</v>
      </c>
      <c r="D130" s="783">
        <v>84907.8984375</v>
      </c>
      <c r="E130" s="784">
        <v>77845.203125</v>
      </c>
      <c r="F130" s="370"/>
      <c r="G130" s="26">
        <f>'FORM B'!H148</f>
        <v>1597399.4000000001</v>
      </c>
      <c r="H130" s="26"/>
      <c r="I130" s="17"/>
      <c r="K130" s="69"/>
      <c r="L130" s="7"/>
    </row>
    <row r="131" spans="1:12" x14ac:dyDescent="0.25">
      <c r="A131" s="43">
        <f t="shared" si="1"/>
        <v>133</v>
      </c>
      <c r="B131" s="132" t="s">
        <v>292</v>
      </c>
      <c r="C131" s="43">
        <v>2009</v>
      </c>
      <c r="D131" s="783">
        <v>80209.1015625</v>
      </c>
      <c r="E131" s="784">
        <v>77578.3984375</v>
      </c>
      <c r="F131" s="370"/>
      <c r="G131" s="26">
        <f>'FORM B'!H149</f>
        <v>1599293.76</v>
      </c>
      <c r="H131" s="26"/>
      <c r="I131" s="17"/>
      <c r="K131" s="69"/>
      <c r="L131" s="7"/>
    </row>
    <row r="132" spans="1:12" x14ac:dyDescent="0.25">
      <c r="A132" s="43">
        <f t="shared" si="1"/>
        <v>134</v>
      </c>
      <c r="B132" s="132" t="s">
        <v>293</v>
      </c>
      <c r="C132" s="43">
        <v>2009</v>
      </c>
      <c r="D132" s="783">
        <v>79574.6015625</v>
      </c>
      <c r="E132" s="784">
        <v>78748.296875</v>
      </c>
      <c r="F132" s="370"/>
      <c r="G132" s="26">
        <f>'FORM B'!H150</f>
        <v>1532238.6500000001</v>
      </c>
      <c r="H132" s="26"/>
      <c r="I132" s="17"/>
      <c r="K132" s="69"/>
      <c r="L132" s="7"/>
    </row>
    <row r="133" spans="1:12" x14ac:dyDescent="0.25">
      <c r="A133" s="43">
        <f t="shared" si="1"/>
        <v>135</v>
      </c>
      <c r="B133" s="132" t="s">
        <v>294</v>
      </c>
      <c r="C133" s="43">
        <v>2010</v>
      </c>
      <c r="D133" s="783">
        <v>80776.5</v>
      </c>
      <c r="E133" s="784">
        <v>78346</v>
      </c>
      <c r="F133" s="370"/>
      <c r="G133" s="26">
        <f>'FORM B'!H151</f>
        <v>1666963.1400000001</v>
      </c>
      <c r="H133" s="26"/>
      <c r="I133" s="17"/>
      <c r="K133" s="69"/>
      <c r="L133" s="7"/>
    </row>
    <row r="134" spans="1:12" x14ac:dyDescent="0.25">
      <c r="A134" s="43">
        <f t="shared" si="1"/>
        <v>136</v>
      </c>
      <c r="B134" s="132" t="s">
        <v>295</v>
      </c>
      <c r="C134" s="43">
        <v>2010</v>
      </c>
      <c r="D134" s="783">
        <v>76144.796875</v>
      </c>
      <c r="E134" s="784">
        <v>76144.796875</v>
      </c>
      <c r="F134" s="370"/>
      <c r="G134" s="26">
        <f>'FORM B'!H152</f>
        <v>1571247.26</v>
      </c>
      <c r="H134" s="26"/>
      <c r="I134" s="17"/>
      <c r="K134" s="69"/>
      <c r="L134" s="7"/>
    </row>
    <row r="135" spans="1:12" x14ac:dyDescent="0.25">
      <c r="A135" s="43">
        <f t="shared" si="1"/>
        <v>137</v>
      </c>
      <c r="B135" s="132" t="s">
        <v>296</v>
      </c>
      <c r="C135" s="43">
        <v>2010</v>
      </c>
      <c r="D135" s="783">
        <v>83313.5</v>
      </c>
      <c r="E135" s="784">
        <v>83313.5</v>
      </c>
      <c r="F135" s="370"/>
      <c r="G135" s="26">
        <f>'FORM B'!H153</f>
        <v>1690216.6800000004</v>
      </c>
      <c r="H135" s="26"/>
      <c r="I135" s="17"/>
      <c r="K135" s="69"/>
      <c r="L135" s="7"/>
    </row>
    <row r="136" spans="1:12" x14ac:dyDescent="0.25">
      <c r="A136" s="43">
        <f t="shared" si="1"/>
        <v>138</v>
      </c>
      <c r="B136" s="132" t="s">
        <v>297</v>
      </c>
      <c r="C136" s="43">
        <v>2010</v>
      </c>
      <c r="D136" s="783">
        <v>75920.1015625</v>
      </c>
      <c r="E136" s="784">
        <v>73461.3984375</v>
      </c>
      <c r="F136" s="370"/>
      <c r="G136" s="26">
        <f>'FORM B'!H154</f>
        <v>1839398.99</v>
      </c>
      <c r="H136" s="26"/>
      <c r="I136" s="17"/>
      <c r="K136" s="69"/>
      <c r="L136" s="7"/>
    </row>
    <row r="137" spans="1:12" x14ac:dyDescent="0.25">
      <c r="A137" s="43">
        <f t="shared" si="1"/>
        <v>139</v>
      </c>
      <c r="B137" s="132" t="s">
        <v>298</v>
      </c>
      <c r="C137" s="43">
        <v>2010</v>
      </c>
      <c r="D137" s="783">
        <v>81169</v>
      </c>
      <c r="E137" s="784">
        <v>81169</v>
      </c>
      <c r="F137" s="370"/>
      <c r="G137" s="26">
        <f>'FORM B'!H155</f>
        <v>1593355.74</v>
      </c>
      <c r="H137" s="26"/>
      <c r="I137" s="17"/>
      <c r="K137" s="69"/>
      <c r="L137" s="7"/>
    </row>
    <row r="138" spans="1:12" x14ac:dyDescent="0.25">
      <c r="A138" s="43">
        <f t="shared" si="1"/>
        <v>140</v>
      </c>
      <c r="B138" s="132" t="s">
        <v>299</v>
      </c>
      <c r="C138" s="43">
        <v>2010</v>
      </c>
      <c r="D138" s="783">
        <v>80209.1015625</v>
      </c>
      <c r="E138" s="784">
        <v>80209.1015625</v>
      </c>
      <c r="F138" s="370"/>
      <c r="G138" s="26">
        <f>'FORM B'!H156</f>
        <v>1674879.25</v>
      </c>
      <c r="H138" s="26"/>
      <c r="I138" s="17"/>
      <c r="K138" s="69"/>
      <c r="L138" s="7"/>
    </row>
    <row r="139" spans="1:12" x14ac:dyDescent="0.25">
      <c r="A139" s="43">
        <f t="shared" si="1"/>
        <v>141</v>
      </c>
      <c r="B139" s="132" t="s">
        <v>300</v>
      </c>
      <c r="C139" s="43">
        <v>2010</v>
      </c>
      <c r="D139" s="783">
        <v>84907.8984375</v>
      </c>
      <c r="E139" s="784">
        <v>84907.8984375</v>
      </c>
      <c r="F139" s="370"/>
      <c r="G139" s="26">
        <f>'FORM B'!H157</f>
        <v>1767872.61</v>
      </c>
      <c r="H139" s="26"/>
      <c r="I139" s="17"/>
      <c r="K139" s="69"/>
      <c r="L139" s="7"/>
    </row>
    <row r="140" spans="1:12" x14ac:dyDescent="0.25">
      <c r="A140" s="43">
        <f t="shared" si="1"/>
        <v>142</v>
      </c>
      <c r="B140" s="132" t="s">
        <v>289</v>
      </c>
      <c r="C140" s="43">
        <v>2010</v>
      </c>
      <c r="D140" s="783">
        <v>81169</v>
      </c>
      <c r="E140" s="784">
        <v>81169</v>
      </c>
      <c r="F140" s="370"/>
      <c r="G140" s="26">
        <f>'FORM B'!H158</f>
        <v>1715331.9200000004</v>
      </c>
      <c r="H140" s="26"/>
      <c r="I140" s="17"/>
      <c r="K140" s="69"/>
      <c r="L140" s="7"/>
    </row>
    <row r="141" spans="1:12" x14ac:dyDescent="0.25">
      <c r="A141" s="43">
        <f t="shared" si="1"/>
        <v>143</v>
      </c>
      <c r="B141" s="132" t="s">
        <v>290</v>
      </c>
      <c r="C141" s="43">
        <v>2010</v>
      </c>
      <c r="D141" s="783">
        <v>80366.703125</v>
      </c>
      <c r="E141" s="784">
        <v>80366.703125</v>
      </c>
      <c r="F141" s="370"/>
      <c r="G141" s="26">
        <f>'FORM B'!H159</f>
        <v>1838339.85</v>
      </c>
      <c r="H141" s="26"/>
      <c r="I141" s="17"/>
      <c r="K141" s="69"/>
      <c r="L141" s="7"/>
    </row>
    <row r="142" spans="1:12" x14ac:dyDescent="0.25">
      <c r="A142" s="43">
        <f t="shared" si="1"/>
        <v>144</v>
      </c>
      <c r="B142" s="132" t="s">
        <v>291</v>
      </c>
      <c r="C142" s="43">
        <v>2010</v>
      </c>
      <c r="D142" s="783">
        <v>82763.3984375</v>
      </c>
      <c r="E142" s="784">
        <v>73767.203125</v>
      </c>
      <c r="F142" s="370"/>
      <c r="G142" s="26">
        <f>'FORM B'!H160</f>
        <v>1692725.1700000004</v>
      </c>
      <c r="H142" s="26"/>
      <c r="I142" s="17"/>
      <c r="K142" s="69"/>
      <c r="L142" s="7"/>
    </row>
    <row r="143" spans="1:12" x14ac:dyDescent="0.25">
      <c r="A143" s="43">
        <f t="shared" si="1"/>
        <v>145</v>
      </c>
      <c r="B143" s="132" t="s">
        <v>292</v>
      </c>
      <c r="C143" s="43">
        <v>2010</v>
      </c>
      <c r="D143" s="783">
        <v>82353.6015625</v>
      </c>
      <c r="E143" s="784">
        <v>78401.296875</v>
      </c>
      <c r="F143" s="370"/>
      <c r="G143" s="26">
        <f>'FORM B'!H161</f>
        <v>1672371.9300000004</v>
      </c>
      <c r="H143" s="26"/>
      <c r="I143" s="17"/>
      <c r="K143" s="69"/>
      <c r="L143" s="7"/>
    </row>
    <row r="144" spans="1:12" x14ac:dyDescent="0.25">
      <c r="A144" s="43">
        <f t="shared" si="1"/>
        <v>146</v>
      </c>
      <c r="B144" s="132" t="s">
        <v>293</v>
      </c>
      <c r="C144" s="43">
        <v>2010</v>
      </c>
      <c r="D144" s="783">
        <v>79259.3984375</v>
      </c>
      <c r="E144" s="784">
        <v>78853.6015625</v>
      </c>
      <c r="F144" s="370"/>
      <c r="G144" s="26">
        <f>'FORM B'!H162</f>
        <v>1707720.8</v>
      </c>
      <c r="H144" s="26"/>
      <c r="I144" s="17"/>
      <c r="K144" s="69"/>
      <c r="L144" s="7"/>
    </row>
    <row r="145" spans="1:12" x14ac:dyDescent="0.25">
      <c r="A145" s="43">
        <f t="shared" si="1"/>
        <v>147</v>
      </c>
      <c r="B145" s="132" t="s">
        <v>294</v>
      </c>
      <c r="C145" s="43">
        <v>2011</v>
      </c>
      <c r="D145" s="783">
        <v>81169</v>
      </c>
      <c r="E145" s="784">
        <v>67180.8984375</v>
      </c>
      <c r="F145" s="370"/>
      <c r="G145" s="26">
        <f>'FORM B'!H163</f>
        <v>1819114.47</v>
      </c>
      <c r="H145" s="26"/>
      <c r="I145" s="17"/>
      <c r="K145" s="69"/>
      <c r="L145" s="7"/>
    </row>
    <row r="146" spans="1:12" x14ac:dyDescent="0.25">
      <c r="A146" s="43">
        <f t="shared" si="1"/>
        <v>148</v>
      </c>
      <c r="B146" s="132" t="s">
        <v>295</v>
      </c>
      <c r="C146" s="43">
        <v>2011</v>
      </c>
      <c r="D146" s="783">
        <v>76144.796875</v>
      </c>
      <c r="E146" s="784">
        <v>74367.3984375</v>
      </c>
      <c r="F146" s="370"/>
      <c r="G146" s="26">
        <f>'FORM B'!H164</f>
        <v>1514042.55</v>
      </c>
      <c r="H146" s="26"/>
      <c r="I146" s="17"/>
      <c r="K146" s="69"/>
      <c r="L146" s="7"/>
    </row>
    <row r="147" spans="1:12" x14ac:dyDescent="0.25">
      <c r="A147" s="43">
        <f t="shared" si="1"/>
        <v>149</v>
      </c>
      <c r="B147" s="132" t="s">
        <v>296</v>
      </c>
      <c r="C147" s="43">
        <v>2011</v>
      </c>
      <c r="D147" s="783">
        <v>85458</v>
      </c>
      <c r="E147" s="784">
        <v>85458</v>
      </c>
      <c r="F147" s="370"/>
      <c r="G147" s="26">
        <f>'FORM B'!H165</f>
        <v>1788069.6500000001</v>
      </c>
      <c r="H147" s="26"/>
      <c r="I147" s="17"/>
      <c r="K147" s="69"/>
      <c r="L147" s="7"/>
    </row>
    <row r="148" spans="1:12" x14ac:dyDescent="0.25">
      <c r="A148" s="43">
        <f t="shared" si="1"/>
        <v>150</v>
      </c>
      <c r="B148" s="132" t="s">
        <v>297</v>
      </c>
      <c r="C148" s="43">
        <v>2011</v>
      </c>
      <c r="D148" s="783">
        <v>75527.6015625</v>
      </c>
      <c r="E148" s="784">
        <v>75527.6015625</v>
      </c>
      <c r="F148" s="370"/>
      <c r="G148" s="26">
        <f>'FORM B'!H166</f>
        <v>1748406.7100000004</v>
      </c>
      <c r="H148" s="26"/>
      <c r="I148" s="17"/>
      <c r="K148" s="69"/>
      <c r="L148" s="7"/>
    </row>
    <row r="149" spans="1:12" x14ac:dyDescent="0.25">
      <c r="A149" s="43">
        <f t="shared" ref="A149:A212" si="2">A148+1</f>
        <v>151</v>
      </c>
      <c r="B149" s="132" t="s">
        <v>298</v>
      </c>
      <c r="C149" s="43">
        <v>2011</v>
      </c>
      <c r="D149" s="783">
        <v>79024.5</v>
      </c>
      <c r="E149" s="784">
        <v>79024.5</v>
      </c>
      <c r="F149" s="370"/>
      <c r="G149" s="26">
        <f>'FORM B'!H167</f>
        <v>2023239.58</v>
      </c>
      <c r="H149" s="26"/>
      <c r="I149" s="17"/>
      <c r="K149" s="69"/>
      <c r="L149" s="7"/>
    </row>
    <row r="150" spans="1:12" x14ac:dyDescent="0.25">
      <c r="A150" s="43">
        <f t="shared" si="2"/>
        <v>152</v>
      </c>
      <c r="B150" s="132" t="s">
        <v>299</v>
      </c>
      <c r="C150" s="43">
        <v>2011</v>
      </c>
      <c r="D150" s="783">
        <v>80209.1015625</v>
      </c>
      <c r="E150" s="784">
        <v>80209.1015625</v>
      </c>
      <c r="F150" s="370"/>
      <c r="G150" s="26">
        <f>'FORM B'!H168</f>
        <v>2116349.33</v>
      </c>
      <c r="H150" s="26"/>
      <c r="I150" s="17"/>
      <c r="K150" s="69"/>
      <c r="L150" s="7"/>
    </row>
    <row r="151" spans="1:12" x14ac:dyDescent="0.25">
      <c r="A151" s="43">
        <f t="shared" si="2"/>
        <v>153</v>
      </c>
      <c r="B151" s="132" t="s">
        <v>300</v>
      </c>
      <c r="C151" s="43">
        <v>2011</v>
      </c>
      <c r="D151" s="783">
        <v>82763.3984375</v>
      </c>
      <c r="E151" s="784">
        <v>82232.796875</v>
      </c>
      <c r="F151" s="370"/>
      <c r="G151" s="26">
        <f>'FORM B'!H169</f>
        <v>1931435.07</v>
      </c>
      <c r="H151" s="26"/>
      <c r="I151" s="17"/>
      <c r="K151" s="69"/>
      <c r="L151" s="7"/>
    </row>
    <row r="152" spans="1:12" x14ac:dyDescent="0.25">
      <c r="A152" s="43">
        <f t="shared" si="2"/>
        <v>154</v>
      </c>
      <c r="B152" s="132" t="s">
        <v>289</v>
      </c>
      <c r="C152" s="43">
        <v>2011</v>
      </c>
      <c r="D152" s="783">
        <v>83313.5</v>
      </c>
      <c r="E152" s="784">
        <v>83060</v>
      </c>
      <c r="F152" s="370"/>
      <c r="G152" s="26">
        <f>'FORM B'!H170</f>
        <v>1954998.26</v>
      </c>
      <c r="H152" s="26"/>
      <c r="I152" s="17"/>
      <c r="K152" s="69"/>
      <c r="L152" s="7"/>
    </row>
    <row r="153" spans="1:12" x14ac:dyDescent="0.25">
      <c r="A153" s="43">
        <f t="shared" si="2"/>
        <v>155</v>
      </c>
      <c r="B153" s="132" t="s">
        <v>290</v>
      </c>
      <c r="C153" s="43">
        <v>2011</v>
      </c>
      <c r="D153" s="783">
        <v>80444</v>
      </c>
      <c r="E153" s="784">
        <v>80444</v>
      </c>
      <c r="F153" s="370"/>
      <c r="G153" s="26">
        <f>'FORM B'!H171</f>
        <v>2045590.58</v>
      </c>
      <c r="H153" s="26"/>
      <c r="I153" s="17"/>
      <c r="K153" s="69"/>
      <c r="L153" s="7"/>
    </row>
    <row r="154" spans="1:12" x14ac:dyDescent="0.25">
      <c r="A154" s="43">
        <f t="shared" si="2"/>
        <v>156</v>
      </c>
      <c r="B154" s="132" t="s">
        <v>291</v>
      </c>
      <c r="C154" s="43">
        <v>2011</v>
      </c>
      <c r="D154" s="783">
        <v>82921</v>
      </c>
      <c r="E154" s="784">
        <v>82179.203125</v>
      </c>
      <c r="F154" s="370"/>
      <c r="G154" s="26">
        <f>'FORM B'!H172</f>
        <v>1968014.4300000004</v>
      </c>
      <c r="H154" s="26"/>
      <c r="I154" s="17"/>
      <c r="K154" s="69"/>
      <c r="L154" s="7"/>
    </row>
    <row r="155" spans="1:12" x14ac:dyDescent="0.25">
      <c r="A155" s="43">
        <f t="shared" si="2"/>
        <v>157</v>
      </c>
      <c r="B155" s="132" t="s">
        <v>292</v>
      </c>
      <c r="C155" s="43">
        <v>2011</v>
      </c>
      <c r="D155" s="783">
        <v>82353.6015625</v>
      </c>
      <c r="E155" s="784">
        <v>80934.203125</v>
      </c>
      <c r="F155" s="370"/>
      <c r="G155" s="26">
        <f>'FORM B'!H173</f>
        <v>1825729.2100000004</v>
      </c>
      <c r="H155" s="26"/>
      <c r="I155" s="17"/>
      <c r="K155" s="69"/>
      <c r="L155" s="7"/>
    </row>
    <row r="156" spans="1:12" x14ac:dyDescent="0.25">
      <c r="A156" s="43">
        <f t="shared" si="2"/>
        <v>158</v>
      </c>
      <c r="B156" s="132" t="s">
        <v>293</v>
      </c>
      <c r="C156" s="43">
        <v>2011</v>
      </c>
      <c r="D156" s="783">
        <v>78632</v>
      </c>
      <c r="E156" s="784">
        <v>78632</v>
      </c>
      <c r="F156" s="370"/>
      <c r="G156" s="26">
        <f>'FORM B'!H174</f>
        <v>2274073.6100000003</v>
      </c>
      <c r="H156" s="26"/>
      <c r="I156" s="17"/>
      <c r="K156" s="69"/>
      <c r="L156" s="7"/>
    </row>
    <row r="157" spans="1:12" x14ac:dyDescent="0.25">
      <c r="A157" s="43">
        <f t="shared" si="2"/>
        <v>159</v>
      </c>
      <c r="B157" s="132" t="s">
        <v>294</v>
      </c>
      <c r="C157" s="43">
        <v>2012</v>
      </c>
      <c r="D157" s="783">
        <v>81169</v>
      </c>
      <c r="E157" s="784">
        <v>80336.1015625</v>
      </c>
      <c r="F157" s="370"/>
      <c r="G157" s="26">
        <f>'FORM B'!H175</f>
        <v>1536917.9000000001</v>
      </c>
      <c r="H157" s="26"/>
      <c r="I157" s="17"/>
      <c r="K157" s="69"/>
      <c r="L157" s="7"/>
    </row>
    <row r="158" spans="1:12" x14ac:dyDescent="0.25">
      <c r="A158" s="43">
        <f t="shared" si="2"/>
        <v>160</v>
      </c>
      <c r="B158" s="132" t="s">
        <v>295</v>
      </c>
      <c r="C158" s="43">
        <v>2012</v>
      </c>
      <c r="D158" s="783">
        <v>79249.203125</v>
      </c>
      <c r="E158" s="784">
        <v>77511</v>
      </c>
      <c r="F158" s="370"/>
      <c r="G158" s="26">
        <f>'FORM B'!H176</f>
        <v>1806407.3</v>
      </c>
      <c r="H158" s="26"/>
      <c r="I158" s="17"/>
      <c r="K158" s="69"/>
      <c r="L158" s="7"/>
    </row>
    <row r="159" spans="1:12" x14ac:dyDescent="0.25">
      <c r="A159" s="43">
        <f t="shared" si="2"/>
        <v>161</v>
      </c>
      <c r="B159" s="132" t="s">
        <v>296</v>
      </c>
      <c r="C159" s="43">
        <v>2012</v>
      </c>
      <c r="D159" s="783">
        <v>82763.3984375</v>
      </c>
      <c r="E159" s="784">
        <v>82371.796875</v>
      </c>
      <c r="F159" s="370"/>
      <c r="G159" s="26">
        <f>'FORM B'!H177</f>
        <v>2106315.67</v>
      </c>
      <c r="H159" s="26"/>
      <c r="I159" s="17"/>
      <c r="K159" s="69"/>
      <c r="L159" s="7"/>
    </row>
    <row r="160" spans="1:12" x14ac:dyDescent="0.25">
      <c r="A160" s="43">
        <f t="shared" si="2"/>
        <v>162</v>
      </c>
      <c r="B160" s="132" t="s">
        <v>297</v>
      </c>
      <c r="C160" s="43">
        <v>2012</v>
      </c>
      <c r="D160" s="783">
        <v>74090.796875</v>
      </c>
      <c r="E160" s="784">
        <v>74090.796875</v>
      </c>
      <c r="F160" s="370"/>
      <c r="G160" s="26">
        <f>'FORM B'!H178</f>
        <v>2154595.9700000002</v>
      </c>
      <c r="H160" s="26"/>
      <c r="I160" s="17"/>
      <c r="K160" s="69"/>
      <c r="L160" s="7"/>
    </row>
    <row r="161" spans="1:12" x14ac:dyDescent="0.25">
      <c r="A161" s="43">
        <f t="shared" si="2"/>
        <v>163</v>
      </c>
      <c r="B161" s="132" t="s">
        <v>298</v>
      </c>
      <c r="C161" s="43">
        <v>2012</v>
      </c>
      <c r="D161" s="783">
        <v>83313.5</v>
      </c>
      <c r="E161" s="784">
        <v>83038.5</v>
      </c>
      <c r="F161" s="370"/>
      <c r="G161" s="26">
        <f>'FORM B'!H179</f>
        <v>1875620.25</v>
      </c>
      <c r="H161" s="26"/>
      <c r="I161" s="17"/>
      <c r="K161" s="69"/>
      <c r="L161" s="7"/>
    </row>
    <row r="162" spans="1:12" x14ac:dyDescent="0.25">
      <c r="A162" s="43">
        <f t="shared" si="2"/>
        <v>164</v>
      </c>
      <c r="B162" s="132" t="s">
        <v>299</v>
      </c>
      <c r="C162" s="43">
        <v>2012</v>
      </c>
      <c r="D162" s="783">
        <v>80051.5</v>
      </c>
      <c r="E162" s="784">
        <v>80051.5</v>
      </c>
      <c r="F162" s="370"/>
      <c r="G162" s="26">
        <f>'FORM B'!H180</f>
        <v>2176697.4</v>
      </c>
      <c r="H162" s="26"/>
      <c r="I162" s="17"/>
      <c r="K162" s="69"/>
      <c r="L162" s="7"/>
    </row>
    <row r="163" spans="1:12" x14ac:dyDescent="0.25">
      <c r="A163" s="43">
        <f t="shared" si="2"/>
        <v>165</v>
      </c>
      <c r="B163" s="132" t="s">
        <v>300</v>
      </c>
      <c r="C163" s="43">
        <v>2012</v>
      </c>
      <c r="D163" s="783">
        <v>83313.5</v>
      </c>
      <c r="E163" s="784">
        <v>83313.5</v>
      </c>
      <c r="F163" s="370"/>
      <c r="G163" s="26">
        <f>'FORM B'!H181</f>
        <v>1875620.25</v>
      </c>
      <c r="H163" s="26"/>
      <c r="I163" s="17"/>
      <c r="K163" s="69"/>
      <c r="L163" s="7"/>
    </row>
    <row r="164" spans="1:12" x14ac:dyDescent="0.25">
      <c r="A164" s="43">
        <f t="shared" si="2"/>
        <v>166</v>
      </c>
      <c r="B164" s="132" t="s">
        <v>289</v>
      </c>
      <c r="C164" s="43">
        <v>2012</v>
      </c>
      <c r="D164" s="783">
        <v>83155.8984375</v>
      </c>
      <c r="E164" s="784">
        <v>83038.3984375</v>
      </c>
      <c r="F164" s="370"/>
      <c r="G164" s="26">
        <f>'FORM B'!H182</f>
        <v>1875620.25</v>
      </c>
      <c r="H164" s="26"/>
      <c r="I164" s="17"/>
      <c r="K164" s="69"/>
      <c r="L164" s="7"/>
    </row>
    <row r="165" spans="1:12" x14ac:dyDescent="0.25">
      <c r="A165" s="43">
        <f t="shared" si="2"/>
        <v>167</v>
      </c>
      <c r="B165" s="132" t="s">
        <v>290</v>
      </c>
      <c r="C165" s="43">
        <v>2012</v>
      </c>
      <c r="D165" s="783">
        <v>77672.1015625</v>
      </c>
      <c r="E165" s="784">
        <v>73056.1015625</v>
      </c>
      <c r="F165" s="370"/>
      <c r="G165" s="26">
        <f>'FORM B'!H183</f>
        <v>1875620.25</v>
      </c>
      <c r="H165" s="26"/>
      <c r="I165" s="17"/>
      <c r="K165" s="69"/>
      <c r="L165" s="7"/>
    </row>
    <row r="166" spans="1:12" x14ac:dyDescent="0.25">
      <c r="A166" s="43">
        <f t="shared" si="2"/>
        <v>168</v>
      </c>
      <c r="B166" s="132" t="s">
        <v>291</v>
      </c>
      <c r="C166" s="43">
        <v>2012</v>
      </c>
      <c r="D166" s="783">
        <v>85458</v>
      </c>
      <c r="E166" s="784">
        <v>82186.6015625</v>
      </c>
      <c r="F166" s="370"/>
      <c r="G166" s="26">
        <f>'FORM B'!H184</f>
        <v>1875620.25</v>
      </c>
      <c r="H166" s="26"/>
      <c r="I166" s="17"/>
      <c r="K166" s="69"/>
      <c r="L166" s="7"/>
    </row>
    <row r="167" spans="1:12" x14ac:dyDescent="0.25">
      <c r="A167" s="43">
        <f t="shared" si="2"/>
        <v>169</v>
      </c>
      <c r="B167" s="132" t="s">
        <v>292</v>
      </c>
      <c r="C167" s="43">
        <v>2012</v>
      </c>
      <c r="D167" s="783">
        <v>82196</v>
      </c>
      <c r="E167" s="784">
        <v>82196</v>
      </c>
      <c r="F167" s="370"/>
      <c r="G167" s="26">
        <f>'FORM B'!H185</f>
        <v>1875620.25</v>
      </c>
      <c r="H167" s="26"/>
      <c r="I167" s="17"/>
      <c r="K167" s="69"/>
      <c r="L167" s="7"/>
    </row>
    <row r="168" spans="1:12" x14ac:dyDescent="0.25">
      <c r="A168" s="43">
        <f t="shared" si="2"/>
        <v>170</v>
      </c>
      <c r="B168" s="132" t="s">
        <v>293</v>
      </c>
      <c r="C168" s="43">
        <v>2012</v>
      </c>
      <c r="D168" s="783">
        <v>76487.5</v>
      </c>
      <c r="E168" s="784">
        <v>76308.203125</v>
      </c>
      <c r="F168" s="370"/>
      <c r="G168" s="26">
        <f>'FORM B'!H186</f>
        <v>1875620.25</v>
      </c>
      <c r="H168" s="26"/>
      <c r="I168" s="17"/>
      <c r="K168" s="69"/>
      <c r="L168" s="7"/>
    </row>
    <row r="169" spans="1:12" x14ac:dyDescent="0.25">
      <c r="A169" s="43">
        <f t="shared" si="2"/>
        <v>171</v>
      </c>
      <c r="B169" s="132" t="s">
        <v>294</v>
      </c>
      <c r="C169" s="43">
        <v>2013</v>
      </c>
      <c r="D169" s="783">
        <v>83313.5</v>
      </c>
      <c r="E169" s="784">
        <v>80597</v>
      </c>
      <c r="F169" s="370"/>
      <c r="G169" s="26">
        <f>'FORM B'!H187</f>
        <v>1875620.25</v>
      </c>
      <c r="H169" s="26"/>
      <c r="I169" s="17"/>
      <c r="K169" s="69"/>
      <c r="L169" s="7"/>
    </row>
    <row r="170" spans="1:12" x14ac:dyDescent="0.25">
      <c r="A170" s="43">
        <f t="shared" si="2"/>
        <v>172</v>
      </c>
      <c r="B170" s="132" t="s">
        <v>295</v>
      </c>
      <c r="C170" s="43">
        <v>2013</v>
      </c>
      <c r="D170" s="783">
        <v>76144.796875</v>
      </c>
      <c r="E170" s="784">
        <v>75578.3984375</v>
      </c>
      <c r="F170" s="370"/>
      <c r="G170" s="26">
        <f>'FORM B'!H188</f>
        <v>4082938.7800000003</v>
      </c>
      <c r="H170" s="26"/>
      <c r="I170" s="17"/>
      <c r="K170" s="69"/>
      <c r="L170" s="7"/>
    </row>
    <row r="171" spans="1:12" x14ac:dyDescent="0.25">
      <c r="A171" s="43">
        <f t="shared" si="2"/>
        <v>173</v>
      </c>
      <c r="B171" s="132" t="s">
        <v>296</v>
      </c>
      <c r="C171" s="43">
        <v>2013</v>
      </c>
      <c r="D171" s="783">
        <v>78632</v>
      </c>
      <c r="E171" s="784">
        <v>78632</v>
      </c>
      <c r="F171" s="370"/>
      <c r="G171" s="26">
        <f>'FORM B'!H189</f>
        <v>2150841.62</v>
      </c>
      <c r="H171" s="26"/>
      <c r="I171" s="17"/>
      <c r="K171" s="69"/>
      <c r="L171" s="7"/>
    </row>
    <row r="172" spans="1:12" x14ac:dyDescent="0.25">
      <c r="A172" s="43">
        <f t="shared" si="2"/>
        <v>174</v>
      </c>
      <c r="B172" s="132" t="s">
        <v>297</v>
      </c>
      <c r="C172" s="43">
        <v>2013</v>
      </c>
      <c r="D172" s="783">
        <v>78457.1015625</v>
      </c>
      <c r="E172" s="784">
        <v>78133.1015625</v>
      </c>
      <c r="F172" s="370"/>
      <c r="G172" s="26">
        <f>'FORM B'!H190</f>
        <v>2239875.21</v>
      </c>
      <c r="H172" s="26"/>
      <c r="I172" s="17"/>
      <c r="K172" s="69"/>
      <c r="L172" s="7"/>
    </row>
    <row r="173" spans="1:12" x14ac:dyDescent="0.25">
      <c r="A173" s="43">
        <f t="shared" si="2"/>
        <v>175</v>
      </c>
      <c r="B173" s="132" t="s">
        <v>298</v>
      </c>
      <c r="C173" s="43">
        <v>2013</v>
      </c>
      <c r="D173" s="783">
        <v>83155.8984375</v>
      </c>
      <c r="E173" s="784">
        <v>83155.8984375</v>
      </c>
      <c r="F173" s="370"/>
      <c r="G173" s="26">
        <f>'FORM B'!H191</f>
        <v>1980657.53</v>
      </c>
      <c r="H173" s="26"/>
      <c r="I173" s="17"/>
      <c r="K173" s="69"/>
      <c r="L173" s="7"/>
    </row>
    <row r="174" spans="1:12" x14ac:dyDescent="0.25">
      <c r="A174" s="43">
        <f t="shared" si="2"/>
        <v>176</v>
      </c>
      <c r="B174" s="132" t="s">
        <v>299</v>
      </c>
      <c r="C174" s="43">
        <v>2013</v>
      </c>
      <c r="D174" s="783">
        <v>77672.1015625</v>
      </c>
      <c r="E174" s="784">
        <v>77672.1015625</v>
      </c>
      <c r="F174" s="370"/>
      <c r="G174" s="26">
        <f>'FORM B'!H192</f>
        <v>2196042.9</v>
      </c>
      <c r="H174" s="26"/>
      <c r="I174" s="17"/>
      <c r="K174" s="69"/>
      <c r="L174" s="7"/>
    </row>
    <row r="175" spans="1:12" x14ac:dyDescent="0.25">
      <c r="A175" s="43">
        <f t="shared" si="2"/>
        <v>177</v>
      </c>
      <c r="B175" s="132" t="s">
        <v>300</v>
      </c>
      <c r="C175" s="43">
        <v>2013</v>
      </c>
      <c r="D175" s="783">
        <v>85458</v>
      </c>
      <c r="E175" s="784">
        <v>83426.703125</v>
      </c>
      <c r="F175" s="370"/>
      <c r="G175" s="26">
        <f>'FORM B'!H193</f>
        <v>2168899.6</v>
      </c>
      <c r="H175" s="26"/>
      <c r="I175" s="17"/>
      <c r="K175" s="69"/>
      <c r="L175" s="7"/>
    </row>
    <row r="176" spans="1:12" x14ac:dyDescent="0.25">
      <c r="A176" s="43">
        <f t="shared" si="2"/>
        <v>178</v>
      </c>
      <c r="B176" s="132" t="s">
        <v>289</v>
      </c>
      <c r="C176" s="43">
        <v>2013</v>
      </c>
      <c r="D176" s="783">
        <v>82921</v>
      </c>
      <c r="E176" s="784">
        <v>81859.703125</v>
      </c>
      <c r="F176" s="370"/>
      <c r="G176" s="26">
        <f>'FORM B'!H194</f>
        <v>2110573.14</v>
      </c>
      <c r="H176" s="26"/>
      <c r="I176" s="17"/>
      <c r="K176" s="69"/>
      <c r="L176" s="7"/>
    </row>
    <row r="177" spans="1:12" x14ac:dyDescent="0.25">
      <c r="A177" s="43">
        <f t="shared" si="2"/>
        <v>179</v>
      </c>
      <c r="B177" s="132" t="s">
        <v>290</v>
      </c>
      <c r="C177" s="43">
        <v>2013</v>
      </c>
      <c r="D177" s="783">
        <v>78064.6015625</v>
      </c>
      <c r="E177" s="784">
        <v>78064.6015625</v>
      </c>
      <c r="F177" s="370"/>
      <c r="G177" s="26">
        <f>'FORM B'!H195</f>
        <v>2447381.96</v>
      </c>
      <c r="H177" s="26"/>
      <c r="I177" s="17"/>
      <c r="K177" s="69"/>
      <c r="L177" s="7"/>
    </row>
    <row r="178" spans="1:12" x14ac:dyDescent="0.25">
      <c r="A178" s="43">
        <f t="shared" si="2"/>
        <v>180</v>
      </c>
      <c r="B178" s="132" t="s">
        <v>291</v>
      </c>
      <c r="C178" s="43">
        <v>2013</v>
      </c>
      <c r="D178" s="783">
        <v>85458</v>
      </c>
      <c r="E178" s="784">
        <v>80034</v>
      </c>
      <c r="F178" s="370"/>
      <c r="G178" s="26">
        <f>'FORM B'!H196</f>
        <v>2368634.4700000002</v>
      </c>
      <c r="H178" s="26"/>
      <c r="I178" s="17"/>
      <c r="K178" s="69"/>
      <c r="L178" s="7"/>
    </row>
    <row r="179" spans="1:12" x14ac:dyDescent="0.25">
      <c r="A179" s="43">
        <f t="shared" si="2"/>
        <v>181</v>
      </c>
      <c r="B179" s="132" t="s">
        <v>292</v>
      </c>
      <c r="C179" s="43">
        <v>2013</v>
      </c>
      <c r="D179" s="783">
        <v>81803.5</v>
      </c>
      <c r="E179" s="784">
        <v>77939</v>
      </c>
      <c r="F179" s="370"/>
      <c r="G179" s="26">
        <f>'FORM B'!H197</f>
        <v>2211511.81</v>
      </c>
      <c r="H179" s="26"/>
      <c r="I179" s="17"/>
      <c r="K179" s="69"/>
      <c r="L179" s="7"/>
    </row>
    <row r="180" spans="1:12" x14ac:dyDescent="0.25">
      <c r="A180" s="43">
        <f t="shared" si="2"/>
        <v>182</v>
      </c>
      <c r="B180" s="132" t="s">
        <v>293</v>
      </c>
      <c r="C180" s="43">
        <v>2013</v>
      </c>
      <c r="D180" s="783">
        <v>76880</v>
      </c>
      <c r="E180" s="784">
        <v>68041.6015625</v>
      </c>
      <c r="F180" s="370"/>
      <c r="G180" s="26">
        <f>'FORM B'!H198</f>
        <v>2277076.9700000002</v>
      </c>
      <c r="H180" s="26"/>
      <c r="I180" s="17"/>
      <c r="K180" s="69"/>
      <c r="L180" s="7"/>
    </row>
    <row r="181" spans="1:12" x14ac:dyDescent="0.25">
      <c r="A181" s="43">
        <f t="shared" si="2"/>
        <v>183</v>
      </c>
      <c r="B181" s="132" t="s">
        <v>294</v>
      </c>
      <c r="C181" s="43">
        <v>2014</v>
      </c>
      <c r="D181" s="783">
        <v>83155.8984375</v>
      </c>
      <c r="E181" s="784">
        <v>81750.1015625</v>
      </c>
      <c r="F181" s="370"/>
      <c r="G181" s="26">
        <f>'FORM B'!H199</f>
        <v>2201056.63</v>
      </c>
      <c r="H181" s="26"/>
      <c r="I181" s="17"/>
      <c r="K181" s="69"/>
      <c r="L181" s="7"/>
    </row>
    <row r="182" spans="1:12" x14ac:dyDescent="0.25">
      <c r="A182" s="43">
        <f t="shared" si="2"/>
        <v>184</v>
      </c>
      <c r="B182" s="132" t="s">
        <v>295</v>
      </c>
      <c r="C182" s="43">
        <v>2014</v>
      </c>
      <c r="D182" s="783">
        <v>76144.796875</v>
      </c>
      <c r="E182" s="784">
        <v>75894.5</v>
      </c>
      <c r="F182" s="370"/>
      <c r="G182" s="26">
        <f>'FORM B'!H200</f>
        <v>2388020.04</v>
      </c>
      <c r="H182" s="26"/>
      <c r="I182" s="17"/>
      <c r="K182" s="69"/>
      <c r="L182" s="7"/>
    </row>
    <row r="183" spans="1:12" x14ac:dyDescent="0.25">
      <c r="A183" s="43">
        <f t="shared" si="2"/>
        <v>185</v>
      </c>
      <c r="B183" s="132" t="s">
        <v>296</v>
      </c>
      <c r="C183" s="43">
        <v>2014</v>
      </c>
      <c r="D183" s="783">
        <v>80934.1015625</v>
      </c>
      <c r="E183" s="784">
        <v>77022.703125</v>
      </c>
      <c r="F183" s="370"/>
      <c r="G183" s="26">
        <f>'FORM B'!H201</f>
        <v>2398436.54</v>
      </c>
      <c r="H183" s="26"/>
      <c r="I183" s="17"/>
      <c r="K183" s="69"/>
      <c r="L183" s="7"/>
    </row>
    <row r="184" spans="1:12" x14ac:dyDescent="0.25">
      <c r="A184" s="43">
        <f t="shared" si="2"/>
        <v>186</v>
      </c>
      <c r="B184" s="132" t="s">
        <v>297</v>
      </c>
      <c r="C184" s="43">
        <v>2014</v>
      </c>
      <c r="D184" s="783">
        <v>76077.703125</v>
      </c>
      <c r="E184" s="784">
        <v>75815.203125</v>
      </c>
      <c r="F184" s="370"/>
      <c r="G184" s="26">
        <f>'FORM B'!H202</f>
        <v>2320177.19</v>
      </c>
      <c r="H184" s="26"/>
      <c r="I184" s="17"/>
      <c r="K184" s="69"/>
      <c r="L184" s="7"/>
    </row>
    <row r="185" spans="1:12" x14ac:dyDescent="0.25">
      <c r="A185" s="43">
        <f t="shared" si="2"/>
        <v>187</v>
      </c>
      <c r="B185" s="132" t="s">
        <v>298</v>
      </c>
      <c r="C185" s="43">
        <v>2014</v>
      </c>
      <c r="D185" s="783">
        <v>80618.8984375</v>
      </c>
      <c r="E185" s="784">
        <v>79953.296875</v>
      </c>
      <c r="F185" s="370"/>
      <c r="G185" s="26">
        <f>'FORM B'!H203</f>
        <v>3298603.66</v>
      </c>
      <c r="H185" s="26"/>
      <c r="I185" s="17"/>
      <c r="K185" s="69"/>
      <c r="L185" s="7"/>
    </row>
    <row r="186" spans="1:12" x14ac:dyDescent="0.25">
      <c r="A186" s="43">
        <f t="shared" si="2"/>
        <v>188</v>
      </c>
      <c r="B186" s="132" t="s">
        <v>299</v>
      </c>
      <c r="C186" s="43">
        <v>2014</v>
      </c>
      <c r="D186" s="783">
        <v>78064.6015625</v>
      </c>
      <c r="E186" s="784">
        <v>78064.6015625</v>
      </c>
      <c r="F186" s="370"/>
      <c r="G186" s="26">
        <f>'FORM B'!H204</f>
        <v>2313014.3000000003</v>
      </c>
      <c r="H186" s="26"/>
      <c r="I186" s="17"/>
      <c r="K186" s="69"/>
      <c r="L186" s="7"/>
    </row>
    <row r="187" spans="1:12" x14ac:dyDescent="0.25">
      <c r="A187" s="43">
        <f t="shared" si="2"/>
        <v>189</v>
      </c>
      <c r="B187" s="132" t="s">
        <v>300</v>
      </c>
      <c r="C187" s="43">
        <v>2014</v>
      </c>
      <c r="D187" s="783">
        <v>85458</v>
      </c>
      <c r="E187" s="784">
        <v>85458</v>
      </c>
      <c r="F187" s="370"/>
      <c r="G187" s="26">
        <f>'FORM B'!H205</f>
        <v>2391541.62</v>
      </c>
      <c r="H187" s="26"/>
      <c r="I187" s="17"/>
      <c r="K187" s="69"/>
      <c r="L187" s="7"/>
    </row>
    <row r="188" spans="1:12" x14ac:dyDescent="0.25">
      <c r="A188" s="43">
        <f t="shared" si="2"/>
        <v>190</v>
      </c>
      <c r="B188" s="132" t="s">
        <v>289</v>
      </c>
      <c r="C188" s="43">
        <v>2014</v>
      </c>
      <c r="D188" s="783">
        <v>81011.3984375</v>
      </c>
      <c r="E188" s="784">
        <v>81011.3984375</v>
      </c>
      <c r="F188" s="370"/>
      <c r="G188" s="26">
        <f>'FORM B'!H206</f>
        <v>2285720.94</v>
      </c>
      <c r="H188" s="26"/>
      <c r="I188" s="17"/>
      <c r="K188" s="69"/>
      <c r="L188" s="7"/>
    </row>
    <row r="189" spans="1:12" x14ac:dyDescent="0.25">
      <c r="A189" s="43">
        <f t="shared" si="2"/>
        <v>191</v>
      </c>
      <c r="B189" s="132" t="s">
        <v>290</v>
      </c>
      <c r="C189" s="43">
        <v>2014</v>
      </c>
      <c r="D189" s="783">
        <v>80209.1015625</v>
      </c>
      <c r="E189" s="784">
        <v>78618.703125</v>
      </c>
      <c r="F189" s="370"/>
      <c r="G189" s="26">
        <f>'FORM B'!H207</f>
        <v>2458375.33</v>
      </c>
      <c r="H189" s="26"/>
      <c r="I189" s="17"/>
      <c r="K189" s="69"/>
      <c r="L189" s="7"/>
    </row>
    <row r="190" spans="1:12" x14ac:dyDescent="0.25">
      <c r="A190" s="43">
        <f t="shared" si="2"/>
        <v>192</v>
      </c>
      <c r="B190" s="132" t="s">
        <v>291</v>
      </c>
      <c r="C190" s="43">
        <v>2014</v>
      </c>
      <c r="D190" s="783">
        <v>85300.3984375</v>
      </c>
      <c r="E190" s="784">
        <v>84157.6015625</v>
      </c>
      <c r="F190" s="370"/>
      <c r="G190" s="26">
        <f>'FORM B'!H208</f>
        <v>2317258.7400000002</v>
      </c>
      <c r="H190" s="26"/>
      <c r="I190" s="17"/>
      <c r="K190" s="69"/>
      <c r="L190" s="7"/>
    </row>
    <row r="191" spans="1:12" x14ac:dyDescent="0.25">
      <c r="A191" s="43">
        <f t="shared" si="2"/>
        <v>193</v>
      </c>
      <c r="B191" s="132" t="s">
        <v>292</v>
      </c>
      <c r="C191" s="43">
        <v>2014</v>
      </c>
      <c r="D191" s="783">
        <v>79816.6015625</v>
      </c>
      <c r="E191" s="784">
        <v>78249.203125</v>
      </c>
      <c r="F191" s="370"/>
      <c r="G191" s="26">
        <f>'FORM B'!H209</f>
        <v>2274357.31</v>
      </c>
      <c r="H191" s="26"/>
      <c r="I191" s="17"/>
      <c r="K191" s="69"/>
      <c r="L191" s="7"/>
    </row>
    <row r="192" spans="1:12" x14ac:dyDescent="0.25">
      <c r="A192" s="43">
        <f t="shared" si="2"/>
        <v>194</v>
      </c>
      <c r="B192" s="132" t="s">
        <v>293</v>
      </c>
      <c r="C192" s="43">
        <v>2014</v>
      </c>
      <c r="D192" s="783">
        <v>79182.1015625</v>
      </c>
      <c r="E192" s="784">
        <v>77899.8984375</v>
      </c>
      <c r="F192" s="370"/>
      <c r="G192" s="26">
        <f>'FORM B'!H210</f>
        <v>2468689.5</v>
      </c>
      <c r="H192" s="26"/>
      <c r="I192" s="17"/>
      <c r="K192" s="69"/>
      <c r="L192" s="7"/>
    </row>
    <row r="193" spans="1:12" x14ac:dyDescent="0.25">
      <c r="A193" s="43">
        <f t="shared" si="2"/>
        <v>195</v>
      </c>
      <c r="B193" s="132" t="s">
        <v>294</v>
      </c>
      <c r="C193" s="43">
        <v>2015</v>
      </c>
      <c r="D193" s="783">
        <v>82763.3984375</v>
      </c>
      <c r="E193" s="784">
        <v>81386.203125</v>
      </c>
      <c r="F193" s="370"/>
      <c r="G193" s="26">
        <f>'FORM B'!H211</f>
        <v>2134102.52</v>
      </c>
      <c r="H193" s="26"/>
      <c r="I193" s="17"/>
      <c r="K193" s="69"/>
      <c r="L193" s="7"/>
    </row>
    <row r="194" spans="1:12" x14ac:dyDescent="0.25">
      <c r="A194" s="43">
        <f t="shared" si="2"/>
        <v>196</v>
      </c>
      <c r="B194" s="132" t="s">
        <v>295</v>
      </c>
      <c r="C194" s="43">
        <v>2015</v>
      </c>
      <c r="D194" s="783">
        <v>76144.796875</v>
      </c>
      <c r="E194" s="784">
        <v>75420.796875</v>
      </c>
      <c r="F194" s="370"/>
      <c r="G194" s="26">
        <f>'FORM B'!H212</f>
        <v>2107638.86</v>
      </c>
      <c r="H194" s="26"/>
      <c r="I194" s="17"/>
      <c r="K194" s="69"/>
      <c r="L194" s="7"/>
    </row>
    <row r="195" spans="1:12" x14ac:dyDescent="0.25">
      <c r="A195" s="43">
        <f t="shared" si="2"/>
        <v>197</v>
      </c>
      <c r="B195" s="132" t="s">
        <v>296</v>
      </c>
      <c r="C195" s="43">
        <v>2015</v>
      </c>
      <c r="D195" s="783">
        <v>81561.5</v>
      </c>
      <c r="E195" s="784">
        <v>81561.5</v>
      </c>
      <c r="F195" s="370"/>
      <c r="G195" s="26">
        <f>'FORM B'!H213</f>
        <v>1952171.3800000001</v>
      </c>
      <c r="H195" s="26"/>
      <c r="I195" s="17"/>
      <c r="K195" s="69"/>
      <c r="L195" s="7"/>
    </row>
    <row r="196" spans="1:12" x14ac:dyDescent="0.25">
      <c r="A196" s="43">
        <f t="shared" si="2"/>
        <v>198</v>
      </c>
      <c r="B196" s="132" t="s">
        <v>297</v>
      </c>
      <c r="C196" s="43">
        <v>2015</v>
      </c>
      <c r="D196" s="783">
        <v>76077.703125</v>
      </c>
      <c r="E196" s="784">
        <v>75843.703125</v>
      </c>
      <c r="F196" s="370"/>
      <c r="G196" s="26">
        <f>'FORM B'!H214</f>
        <v>2086607.99</v>
      </c>
      <c r="H196" s="26"/>
      <c r="I196" s="17"/>
      <c r="K196" s="69"/>
      <c r="L196" s="7"/>
    </row>
    <row r="197" spans="1:12" x14ac:dyDescent="0.25">
      <c r="A197" s="43">
        <f t="shared" si="2"/>
        <v>199</v>
      </c>
      <c r="B197" s="132" t="s">
        <v>298</v>
      </c>
      <c r="C197" s="43">
        <v>2015</v>
      </c>
      <c r="D197" s="783">
        <v>80776.5</v>
      </c>
      <c r="E197" s="784">
        <v>80776.5</v>
      </c>
      <c r="F197" s="370"/>
      <c r="G197" s="26">
        <f>'FORM B'!H215</f>
        <v>2017881.04</v>
      </c>
      <c r="H197" s="26"/>
      <c r="I197" s="17"/>
      <c r="K197" s="69"/>
      <c r="L197" s="7"/>
    </row>
    <row r="198" spans="1:12" x14ac:dyDescent="0.25">
      <c r="A198" s="43">
        <f t="shared" si="2"/>
        <v>200</v>
      </c>
      <c r="B198" s="132" t="s">
        <v>299</v>
      </c>
      <c r="C198" s="43">
        <v>2015</v>
      </c>
      <c r="D198" s="783">
        <v>80209.1015625</v>
      </c>
      <c r="E198" s="784">
        <v>80209.1015625</v>
      </c>
      <c r="F198" s="370"/>
      <c r="G198" s="26">
        <f>'FORM B'!H216</f>
        <v>2161088.5500000003</v>
      </c>
      <c r="H198" s="26"/>
      <c r="I198" s="17"/>
      <c r="K198" s="69"/>
      <c r="L198" s="7"/>
    </row>
    <row r="199" spans="1:12" x14ac:dyDescent="0.25">
      <c r="A199" s="43">
        <f t="shared" si="2"/>
        <v>201</v>
      </c>
      <c r="B199" s="132" t="s">
        <v>300</v>
      </c>
      <c r="C199" s="43">
        <v>2015</v>
      </c>
      <c r="D199" s="783">
        <v>85300.3984375</v>
      </c>
      <c r="E199" s="784">
        <v>85300.3984375</v>
      </c>
      <c r="F199" s="370"/>
      <c r="G199" s="26">
        <f>'FORM B'!H217</f>
        <v>2122732.64</v>
      </c>
      <c r="H199" s="26"/>
      <c r="I199" s="17"/>
      <c r="K199" s="69"/>
      <c r="L199" s="7"/>
    </row>
    <row r="200" spans="1:12" x14ac:dyDescent="0.25">
      <c r="A200" s="43">
        <f t="shared" si="2"/>
        <v>202</v>
      </c>
      <c r="B200" s="132" t="s">
        <v>289</v>
      </c>
      <c r="C200" s="43">
        <v>2015</v>
      </c>
      <c r="D200" s="783">
        <v>80776.5</v>
      </c>
      <c r="E200" s="784">
        <v>80776.5</v>
      </c>
      <c r="F200" s="370"/>
      <c r="G200" s="26">
        <f>'FORM B'!H218</f>
        <v>2192838.52</v>
      </c>
      <c r="H200" s="26"/>
      <c r="I200" s="17"/>
      <c r="K200" s="69"/>
      <c r="L200" s="7"/>
    </row>
    <row r="201" spans="1:12" x14ac:dyDescent="0.25">
      <c r="A201" s="43">
        <f t="shared" si="2"/>
        <v>203</v>
      </c>
      <c r="B201" s="132" t="s">
        <v>290</v>
      </c>
      <c r="C201" s="43">
        <v>2015</v>
      </c>
      <c r="D201" s="783">
        <v>80209.1015625</v>
      </c>
      <c r="E201" s="784">
        <v>79996.5</v>
      </c>
      <c r="F201" s="370"/>
      <c r="G201" s="26">
        <f>'FORM B'!H219</f>
        <v>2199371.3600000003</v>
      </c>
      <c r="H201" s="26"/>
      <c r="I201" s="17"/>
      <c r="K201" s="69"/>
      <c r="L201" s="7"/>
    </row>
    <row r="202" spans="1:12" x14ac:dyDescent="0.25">
      <c r="A202" s="43">
        <f t="shared" si="2"/>
        <v>204</v>
      </c>
      <c r="B202" s="132" t="s">
        <v>291</v>
      </c>
      <c r="C202" s="43">
        <v>2015</v>
      </c>
      <c r="D202" s="783">
        <v>84907.8984375</v>
      </c>
      <c r="E202" s="784">
        <v>84907.8984375</v>
      </c>
      <c r="F202" s="370"/>
      <c r="G202" s="26">
        <f>'FORM B'!H220</f>
        <v>2074797.9700000004</v>
      </c>
      <c r="H202" s="26"/>
      <c r="I202" s="17"/>
      <c r="K202" s="69"/>
      <c r="L202" s="7"/>
    </row>
    <row r="203" spans="1:12" x14ac:dyDescent="0.25">
      <c r="A203" s="43">
        <f t="shared" si="2"/>
        <v>205</v>
      </c>
      <c r="B203" s="132" t="s">
        <v>292</v>
      </c>
      <c r="C203" s="43">
        <v>2015</v>
      </c>
      <c r="D203" s="783">
        <v>80209.1015625</v>
      </c>
      <c r="E203" s="784">
        <v>73396</v>
      </c>
      <c r="F203" s="370"/>
      <c r="G203" s="26">
        <f>'FORM B'!H221</f>
        <v>2202679.64</v>
      </c>
      <c r="H203" s="26"/>
      <c r="I203" s="17"/>
      <c r="K203" s="69"/>
      <c r="L203" s="7"/>
    </row>
    <row r="204" spans="1:12" x14ac:dyDescent="0.25">
      <c r="A204" s="43">
        <f t="shared" si="2"/>
        <v>206</v>
      </c>
      <c r="B204" s="132" t="s">
        <v>293</v>
      </c>
      <c r="C204" s="43">
        <v>2015</v>
      </c>
      <c r="D204" s="783">
        <v>78614.703125</v>
      </c>
      <c r="E204" s="784">
        <v>77026.8984375</v>
      </c>
      <c r="F204" s="370"/>
      <c r="G204" s="26">
        <f>'FORM B'!H222</f>
        <v>2024796.82</v>
      </c>
      <c r="H204" s="26"/>
      <c r="I204" s="17"/>
      <c r="K204" s="69"/>
      <c r="L204" s="7"/>
    </row>
    <row r="205" spans="1:12" x14ac:dyDescent="0.25">
      <c r="A205" s="43">
        <f t="shared" si="2"/>
        <v>207</v>
      </c>
      <c r="B205" s="132" t="s">
        <v>294</v>
      </c>
      <c r="C205" s="43">
        <v>2016</v>
      </c>
      <c r="D205" s="783">
        <v>79816.6015625</v>
      </c>
      <c r="E205" s="784">
        <v>78173.703125</v>
      </c>
      <c r="F205" s="370"/>
      <c r="G205" s="26">
        <f>'FORM B'!H223</f>
        <v>2310534.5700000003</v>
      </c>
      <c r="H205" s="26"/>
      <c r="I205" s="17"/>
      <c r="K205" s="69"/>
      <c r="L205" s="7"/>
    </row>
    <row r="206" spans="1:12" x14ac:dyDescent="0.25">
      <c r="A206" s="43">
        <f t="shared" si="2"/>
        <v>208</v>
      </c>
      <c r="B206" s="132" t="s">
        <v>295</v>
      </c>
      <c r="C206" s="43">
        <v>2016</v>
      </c>
      <c r="D206" s="783">
        <v>79249.203125</v>
      </c>
      <c r="E206" s="784">
        <v>77046</v>
      </c>
      <c r="F206" s="370"/>
      <c r="G206" s="26">
        <f>'FORM B'!H224</f>
        <v>2252293.2000000002</v>
      </c>
      <c r="H206" s="26"/>
      <c r="I206" s="17"/>
      <c r="K206" s="69"/>
      <c r="L206" s="7"/>
    </row>
    <row r="207" spans="1:12" x14ac:dyDescent="0.25">
      <c r="A207" s="43">
        <f t="shared" si="2"/>
        <v>209</v>
      </c>
      <c r="B207" s="132" t="s">
        <v>296</v>
      </c>
      <c r="C207" s="43">
        <v>2016</v>
      </c>
      <c r="D207" s="783">
        <v>77262.296875</v>
      </c>
      <c r="E207" s="784">
        <v>77262.296875</v>
      </c>
      <c r="F207" s="370"/>
      <c r="G207" s="26">
        <f>'FORM B'!H225</f>
        <v>2139312.06</v>
      </c>
      <c r="H207" s="26"/>
      <c r="I207" s="17"/>
      <c r="K207" s="69"/>
      <c r="L207" s="7"/>
    </row>
    <row r="208" spans="1:12" x14ac:dyDescent="0.25">
      <c r="A208" s="43">
        <f t="shared" si="2"/>
        <v>210</v>
      </c>
      <c r="B208" s="132" t="s">
        <v>297</v>
      </c>
      <c r="C208" s="43">
        <v>2016</v>
      </c>
      <c r="D208" s="783">
        <v>79659</v>
      </c>
      <c r="E208" s="784">
        <v>78249</v>
      </c>
      <c r="F208" s="370"/>
      <c r="G208" s="26">
        <f>'FORM B'!H226</f>
        <v>2172710.35</v>
      </c>
      <c r="H208" s="26"/>
      <c r="I208" s="17"/>
      <c r="K208" s="69"/>
      <c r="L208" s="7"/>
    </row>
    <row r="209" spans="1:12" x14ac:dyDescent="0.25">
      <c r="A209" s="43">
        <f t="shared" si="2"/>
        <v>211</v>
      </c>
      <c r="B209" s="132" t="s">
        <v>298</v>
      </c>
      <c r="C209" s="43">
        <v>2016</v>
      </c>
      <c r="D209" s="783">
        <v>81169</v>
      </c>
      <c r="E209" s="784">
        <v>72961.6015625</v>
      </c>
      <c r="F209" s="370"/>
      <c r="G209" s="26">
        <f>'FORM B'!H227</f>
        <v>2011875.99</v>
      </c>
      <c r="H209" s="26"/>
      <c r="I209" s="17"/>
      <c r="K209" s="69"/>
      <c r="L209" s="7"/>
    </row>
    <row r="210" spans="1:12" x14ac:dyDescent="0.25">
      <c r="A210" s="43">
        <f t="shared" si="2"/>
        <v>212</v>
      </c>
      <c r="B210" s="132" t="s">
        <v>299</v>
      </c>
      <c r="C210" s="43">
        <v>2016</v>
      </c>
      <c r="D210" s="783">
        <v>80209.1015625</v>
      </c>
      <c r="E210" s="784">
        <v>80209.1015625</v>
      </c>
      <c r="F210" s="370"/>
      <c r="G210" s="26">
        <f>'FORM B'!H228</f>
        <v>2059877.79</v>
      </c>
      <c r="H210" s="26"/>
      <c r="I210" s="17"/>
      <c r="K210" s="69"/>
      <c r="L210" s="7"/>
    </row>
    <row r="211" spans="1:12" x14ac:dyDescent="0.25">
      <c r="A211" s="43">
        <f t="shared" si="2"/>
        <v>213</v>
      </c>
      <c r="B211" s="132" t="s">
        <v>300</v>
      </c>
      <c r="C211" s="43">
        <v>2016</v>
      </c>
      <c r="D211" s="783">
        <v>82763.3984375</v>
      </c>
      <c r="E211" s="784">
        <v>80806.3984375</v>
      </c>
      <c r="F211" s="370"/>
      <c r="G211" s="26">
        <f>'FORM B'!H229</f>
        <v>2080457.59</v>
      </c>
      <c r="H211" s="26"/>
      <c r="I211" s="17"/>
      <c r="K211" s="69"/>
      <c r="L211" s="7"/>
    </row>
    <row r="212" spans="1:12" x14ac:dyDescent="0.25">
      <c r="A212" s="43">
        <f t="shared" si="2"/>
        <v>214</v>
      </c>
      <c r="B212" s="132" t="s">
        <v>289</v>
      </c>
      <c r="C212" s="43">
        <v>2016</v>
      </c>
      <c r="D212" s="783">
        <v>81169</v>
      </c>
      <c r="E212" s="784">
        <v>81169</v>
      </c>
      <c r="F212" s="370"/>
      <c r="G212" s="26">
        <f>'FORM B'!H230</f>
        <v>2170132.65</v>
      </c>
      <c r="H212" s="26"/>
      <c r="I212" s="17"/>
      <c r="K212" s="69"/>
      <c r="L212" s="7"/>
    </row>
    <row r="213" spans="1:12" x14ac:dyDescent="0.25">
      <c r="A213" s="43">
        <f t="shared" ref="A213:A259" si="3">A212+1</f>
        <v>215</v>
      </c>
      <c r="B213" s="132" t="s">
        <v>290</v>
      </c>
      <c r="C213" s="43">
        <v>2016</v>
      </c>
      <c r="D213" s="783">
        <v>80444</v>
      </c>
      <c r="E213" s="784">
        <v>79755.796875</v>
      </c>
      <c r="F213" s="370"/>
      <c r="G213" s="26">
        <f>'FORM B'!H231</f>
        <v>2206183.8200000003</v>
      </c>
      <c r="H213" s="26"/>
      <c r="I213" s="17"/>
      <c r="K213" s="69"/>
      <c r="L213" s="7"/>
    </row>
    <row r="214" spans="1:12" x14ac:dyDescent="0.25">
      <c r="A214" s="43">
        <f t="shared" si="3"/>
        <v>216</v>
      </c>
      <c r="B214" s="132" t="s">
        <v>291</v>
      </c>
      <c r="C214" s="43">
        <v>2016</v>
      </c>
      <c r="D214" s="783">
        <v>82921</v>
      </c>
      <c r="E214" s="784">
        <v>76895.703125</v>
      </c>
      <c r="F214" s="370"/>
      <c r="G214" s="26">
        <f>'FORM B'!H232</f>
        <v>2165295.1100000003</v>
      </c>
      <c r="H214" s="26"/>
      <c r="I214" s="17"/>
      <c r="K214" s="69"/>
      <c r="L214" s="7"/>
    </row>
    <row r="215" spans="1:12" x14ac:dyDescent="0.25">
      <c r="A215" s="43">
        <f t="shared" si="3"/>
        <v>217</v>
      </c>
      <c r="B215" s="132" t="s">
        <v>292</v>
      </c>
      <c r="C215" s="43">
        <v>2016</v>
      </c>
      <c r="D215" s="783">
        <v>82353.6015625</v>
      </c>
      <c r="E215" s="784">
        <v>76638.203125</v>
      </c>
      <c r="F215" s="370"/>
      <c r="G215" s="26">
        <f>'FORM B'!H233</f>
        <v>2170097.16</v>
      </c>
      <c r="H215" s="26"/>
      <c r="I215" s="17"/>
      <c r="K215" s="69"/>
      <c r="L215" s="7"/>
    </row>
    <row r="216" spans="1:12" x14ac:dyDescent="0.25">
      <c r="A216" s="43">
        <f t="shared" si="3"/>
        <v>218</v>
      </c>
      <c r="B216" s="132" t="s">
        <v>293</v>
      </c>
      <c r="C216" s="43">
        <v>2016</v>
      </c>
      <c r="D216" s="783">
        <v>77672.1015625</v>
      </c>
      <c r="E216" s="784">
        <v>75885.796875</v>
      </c>
      <c r="F216" s="370"/>
      <c r="G216" s="26">
        <f>'FORM B'!H234</f>
        <v>2148512.3600000003</v>
      </c>
      <c r="H216" s="26"/>
      <c r="I216" s="17"/>
      <c r="K216" s="69"/>
      <c r="L216" s="7"/>
    </row>
    <row r="217" spans="1:12" x14ac:dyDescent="0.25">
      <c r="A217" s="43">
        <f t="shared" si="3"/>
        <v>219</v>
      </c>
      <c r="B217" s="132" t="s">
        <v>294</v>
      </c>
      <c r="C217" s="43">
        <v>2017</v>
      </c>
      <c r="D217" s="783">
        <v>81169</v>
      </c>
      <c r="E217" s="784">
        <v>78180.203125</v>
      </c>
      <c r="F217" s="370"/>
      <c r="G217" s="26">
        <f>'FORM B'!H235</f>
        <v>2208228.85</v>
      </c>
      <c r="H217" s="26"/>
      <c r="I217" s="17"/>
      <c r="K217" s="69"/>
      <c r="L217" s="7"/>
    </row>
    <row r="218" spans="1:12" x14ac:dyDescent="0.25">
      <c r="A218" s="43">
        <f t="shared" si="3"/>
        <v>220</v>
      </c>
      <c r="B218" s="132" t="s">
        <v>295</v>
      </c>
      <c r="C218" s="43">
        <v>2017</v>
      </c>
      <c r="D218" s="783">
        <v>76144.796875</v>
      </c>
      <c r="E218" s="784">
        <v>72812.703125</v>
      </c>
      <c r="F218" s="370"/>
      <c r="G218" s="26">
        <f>'FORM B'!H236</f>
        <v>2152331.81</v>
      </c>
      <c r="H218" s="26"/>
      <c r="I218" s="17"/>
      <c r="K218" s="69"/>
      <c r="L218" s="7"/>
    </row>
    <row r="219" spans="1:12" x14ac:dyDescent="0.25">
      <c r="A219" s="43">
        <f t="shared" si="3"/>
        <v>221</v>
      </c>
      <c r="B219" s="132" t="s">
        <v>296</v>
      </c>
      <c r="C219" s="43">
        <v>2017</v>
      </c>
      <c r="D219" s="783">
        <v>83155.8984375</v>
      </c>
      <c r="E219" s="784">
        <v>71994.3984375</v>
      </c>
      <c r="F219" s="370"/>
      <c r="G219" s="26">
        <f>'FORM B'!H237</f>
        <v>2148831.0100000002</v>
      </c>
      <c r="H219" s="26"/>
      <c r="I219" s="17"/>
      <c r="K219" s="69"/>
      <c r="L219" s="7"/>
    </row>
    <row r="220" spans="1:12" x14ac:dyDescent="0.25">
      <c r="A220" s="43">
        <f t="shared" si="3"/>
        <v>222</v>
      </c>
      <c r="B220" s="132" t="s">
        <v>297</v>
      </c>
      <c r="C220" s="43">
        <v>2017</v>
      </c>
      <c r="D220" s="783">
        <v>73540.703125</v>
      </c>
      <c r="E220" s="784">
        <v>73540.703125</v>
      </c>
      <c r="F220" s="370"/>
      <c r="G220" s="26">
        <f>'FORM B'!H238</f>
        <v>1825510.23</v>
      </c>
      <c r="H220" s="26"/>
      <c r="I220" s="17"/>
      <c r="K220" s="69"/>
      <c r="L220" s="7"/>
    </row>
    <row r="221" spans="1:12" x14ac:dyDescent="0.25">
      <c r="A221" s="43">
        <f t="shared" si="3"/>
        <v>223</v>
      </c>
      <c r="B221" s="132" t="s">
        <v>298</v>
      </c>
      <c r="C221" s="43">
        <v>2017</v>
      </c>
      <c r="D221" s="783">
        <v>83313.5</v>
      </c>
      <c r="E221" s="784">
        <v>81633.8984375</v>
      </c>
      <c r="F221" s="370"/>
      <c r="G221" s="26">
        <f>'FORM B'!H239</f>
        <v>2212955.75</v>
      </c>
      <c r="H221" s="26"/>
      <c r="I221" s="17"/>
      <c r="K221" s="69"/>
      <c r="L221" s="7"/>
    </row>
    <row r="222" spans="1:12" x14ac:dyDescent="0.25">
      <c r="A222" s="43">
        <f t="shared" si="3"/>
        <v>224</v>
      </c>
      <c r="B222" s="132" t="s">
        <v>299</v>
      </c>
      <c r="C222" s="43">
        <v>2017</v>
      </c>
      <c r="D222" s="783">
        <v>80209.1015625</v>
      </c>
      <c r="E222" s="784">
        <v>80209.1015625</v>
      </c>
      <c r="F222" s="370"/>
      <c r="G222" s="26">
        <f>'FORM B'!H240</f>
        <v>2199474.33</v>
      </c>
      <c r="H222" s="26"/>
      <c r="I222" s="17"/>
      <c r="K222" s="69"/>
      <c r="L222" s="7"/>
    </row>
    <row r="223" spans="1:12" x14ac:dyDescent="0.25">
      <c r="A223" s="43">
        <f t="shared" si="3"/>
        <v>225</v>
      </c>
      <c r="B223" s="132" t="s">
        <v>300</v>
      </c>
      <c r="C223" s="43">
        <v>2017</v>
      </c>
      <c r="D223" s="783">
        <v>82921</v>
      </c>
      <c r="E223" s="784">
        <v>78860.6015625</v>
      </c>
      <c r="F223" s="370"/>
      <c r="G223" s="26">
        <f>'FORM B'!H241</f>
        <v>2160826.25</v>
      </c>
      <c r="H223" s="26"/>
      <c r="I223" s="17"/>
      <c r="K223" s="69"/>
      <c r="L223" s="7"/>
    </row>
    <row r="224" spans="1:12" x14ac:dyDescent="0.25">
      <c r="A224" s="43">
        <f t="shared" si="3"/>
        <v>226</v>
      </c>
      <c r="B224" s="132" t="s">
        <v>289</v>
      </c>
      <c r="C224" s="43">
        <v>2017</v>
      </c>
      <c r="D224" s="783">
        <v>83313.5</v>
      </c>
      <c r="E224" s="784">
        <v>83313.5</v>
      </c>
      <c r="F224" s="370"/>
      <c r="G224" s="26">
        <f>'FORM B'!H242</f>
        <v>2353325.6100000003</v>
      </c>
      <c r="H224" s="26"/>
      <c r="I224" s="17"/>
      <c r="K224" s="69"/>
      <c r="L224" s="7"/>
    </row>
    <row r="225" spans="1:12" x14ac:dyDescent="0.25">
      <c r="A225" s="43">
        <f t="shared" si="3"/>
        <v>227</v>
      </c>
      <c r="B225" s="132" t="s">
        <v>290</v>
      </c>
      <c r="C225" s="43">
        <v>2017</v>
      </c>
      <c r="D225" s="783">
        <v>79659</v>
      </c>
      <c r="E225" s="784">
        <v>78935.3984375</v>
      </c>
      <c r="F225" s="370"/>
      <c r="G225" s="26">
        <f>'FORM B'!H243</f>
        <v>2427598.12</v>
      </c>
      <c r="H225" s="26"/>
      <c r="I225" s="17"/>
      <c r="K225" s="69"/>
      <c r="L225" s="7"/>
    </row>
    <row r="226" spans="1:12" x14ac:dyDescent="0.25">
      <c r="A226" s="43">
        <f t="shared" si="3"/>
        <v>228</v>
      </c>
      <c r="B226" s="132" t="s">
        <v>291</v>
      </c>
      <c r="C226" s="43">
        <v>2017</v>
      </c>
      <c r="D226" s="783">
        <v>83313.5</v>
      </c>
      <c r="E226" s="784">
        <v>82612.296875</v>
      </c>
      <c r="F226" s="370"/>
      <c r="G226" s="26">
        <f>'FORM B'!H244</f>
        <v>2522396.66</v>
      </c>
      <c r="H226" s="26"/>
      <c r="I226" s="17"/>
      <c r="K226" s="69"/>
      <c r="L226" s="7"/>
    </row>
    <row r="227" spans="1:12" x14ac:dyDescent="0.25">
      <c r="A227" s="43">
        <f t="shared" si="3"/>
        <v>229</v>
      </c>
      <c r="B227" s="132" t="s">
        <v>292</v>
      </c>
      <c r="C227" s="43">
        <v>2017</v>
      </c>
      <c r="D227" s="783">
        <v>82353.6015625</v>
      </c>
      <c r="E227" s="784">
        <v>80778.203125</v>
      </c>
      <c r="F227" s="370"/>
      <c r="G227" s="26">
        <f>'FORM B'!H245</f>
        <v>2520244.0300000003</v>
      </c>
      <c r="H227" s="26"/>
      <c r="I227" s="17"/>
      <c r="K227" s="69"/>
      <c r="L227" s="7"/>
    </row>
    <row r="228" spans="1:12" x14ac:dyDescent="0.25">
      <c r="A228" s="43">
        <f t="shared" si="3"/>
        <v>230</v>
      </c>
      <c r="B228" s="132" t="s">
        <v>293</v>
      </c>
      <c r="C228" s="43">
        <v>2017</v>
      </c>
      <c r="D228" s="783">
        <v>76722.3984375</v>
      </c>
      <c r="E228" s="784">
        <v>72923.203125</v>
      </c>
      <c r="F228" s="370"/>
      <c r="G228" s="26">
        <f>'FORM B'!H246</f>
        <v>2508599.15</v>
      </c>
      <c r="H228" s="26"/>
      <c r="I228" s="17"/>
      <c r="K228" s="69"/>
      <c r="L228" s="7"/>
    </row>
    <row r="229" spans="1:12" x14ac:dyDescent="0.25">
      <c r="A229" s="43">
        <f t="shared" si="3"/>
        <v>231</v>
      </c>
      <c r="B229" s="132" t="s">
        <v>294</v>
      </c>
      <c r="C229" s="43">
        <v>2018</v>
      </c>
      <c r="D229" s="783">
        <v>83313.5</v>
      </c>
      <c r="E229" s="784">
        <v>82844.5</v>
      </c>
      <c r="F229" s="370"/>
      <c r="G229" s="26">
        <f>'FORM B'!H247</f>
        <v>2469483.16</v>
      </c>
      <c r="H229" s="26"/>
      <c r="I229" s="17"/>
      <c r="K229" s="69"/>
      <c r="L229" s="7"/>
    </row>
    <row r="230" spans="1:12" x14ac:dyDescent="0.25">
      <c r="A230" s="43">
        <f t="shared" si="3"/>
        <v>232</v>
      </c>
      <c r="B230" s="132" t="s">
        <v>295</v>
      </c>
      <c r="C230" s="43">
        <v>2018</v>
      </c>
      <c r="D230" s="783">
        <v>76144.796875</v>
      </c>
      <c r="E230" s="784">
        <v>59709.30078125</v>
      </c>
      <c r="F230" s="370"/>
      <c r="G230" s="26">
        <f>'FORM B'!H248</f>
        <v>2621925.58</v>
      </c>
      <c r="H230" s="26"/>
      <c r="I230" s="17"/>
      <c r="K230" s="69"/>
      <c r="L230" s="7"/>
    </row>
    <row r="231" spans="1:12" x14ac:dyDescent="0.25">
      <c r="A231" s="43">
        <f t="shared" si="3"/>
        <v>233</v>
      </c>
      <c r="B231" s="132" t="s">
        <v>296</v>
      </c>
      <c r="C231" s="43">
        <v>2018</v>
      </c>
      <c r="D231" s="783">
        <v>80776.5</v>
      </c>
      <c r="E231" s="784">
        <v>71533.6015625</v>
      </c>
      <c r="F231" s="370"/>
      <c r="G231" s="26">
        <f>'FORM B'!H249</f>
        <v>2267169.9500000002</v>
      </c>
      <c r="H231" s="26"/>
      <c r="I231" s="17"/>
      <c r="K231" s="69"/>
      <c r="L231" s="7"/>
    </row>
    <row r="232" spans="1:12" x14ac:dyDescent="0.25">
      <c r="A232" s="43">
        <f t="shared" si="3"/>
        <v>234</v>
      </c>
      <c r="B232" s="132" t="s">
        <v>297</v>
      </c>
      <c r="C232" s="43">
        <v>2018</v>
      </c>
      <c r="D232" s="783">
        <v>76077.703125</v>
      </c>
      <c r="E232" s="784">
        <v>75465.296875</v>
      </c>
      <c r="F232" s="370"/>
      <c r="G232" s="26">
        <f>'FORM B'!H250</f>
        <v>2352549.35</v>
      </c>
      <c r="H232" s="26"/>
      <c r="I232" s="17"/>
      <c r="K232" s="69"/>
      <c r="L232" s="7"/>
    </row>
    <row r="233" spans="1:12" x14ac:dyDescent="0.25">
      <c r="A233" s="43">
        <f t="shared" si="3"/>
        <v>235</v>
      </c>
      <c r="B233" s="132" t="s">
        <v>298</v>
      </c>
      <c r="C233" s="43">
        <v>2018</v>
      </c>
      <c r="D233" s="783">
        <v>83313.5</v>
      </c>
      <c r="E233" s="784">
        <v>81617.1015625</v>
      </c>
      <c r="F233" s="370"/>
      <c r="G233" s="26">
        <f>'FORM B'!H251</f>
        <v>2405890.9</v>
      </c>
      <c r="H233" s="26"/>
      <c r="I233" s="17"/>
      <c r="K233" s="69"/>
      <c r="L233" s="7"/>
    </row>
    <row r="234" spans="1:12" x14ac:dyDescent="0.25">
      <c r="A234" s="43">
        <f t="shared" si="3"/>
        <v>236</v>
      </c>
      <c r="B234" s="132" t="s">
        <v>299</v>
      </c>
      <c r="C234" s="43">
        <v>2018</v>
      </c>
      <c r="D234" s="783">
        <v>80051.5</v>
      </c>
      <c r="E234" s="784">
        <v>79736.296875</v>
      </c>
      <c r="F234" s="370"/>
      <c r="G234" s="26">
        <f>'FORM B'!H252</f>
        <v>2584846.02</v>
      </c>
      <c r="H234" s="26"/>
      <c r="I234" s="17"/>
      <c r="K234" s="69"/>
      <c r="L234" s="7"/>
    </row>
    <row r="235" spans="1:12" x14ac:dyDescent="0.25">
      <c r="A235" s="43">
        <f t="shared" si="3"/>
        <v>237</v>
      </c>
      <c r="B235" s="132" t="s">
        <v>300</v>
      </c>
      <c r="C235" s="43">
        <v>2018</v>
      </c>
      <c r="D235" s="783">
        <v>83313.5</v>
      </c>
      <c r="E235" s="784">
        <v>83313.5</v>
      </c>
      <c r="F235" s="370"/>
      <c r="G235" s="26">
        <f>'FORM B'!H253</f>
        <v>2552916.33</v>
      </c>
      <c r="H235" s="26"/>
      <c r="I235" s="17"/>
      <c r="K235" s="69"/>
      <c r="L235" s="7"/>
    </row>
    <row r="236" spans="1:12" x14ac:dyDescent="0.25">
      <c r="A236" s="43">
        <f t="shared" si="3"/>
        <v>238</v>
      </c>
      <c r="B236" s="132" t="s">
        <v>289</v>
      </c>
      <c r="C236" s="43">
        <v>2018</v>
      </c>
      <c r="D236" s="783">
        <v>83155.8984375</v>
      </c>
      <c r="E236" s="784">
        <v>82787.703125</v>
      </c>
      <c r="F236" s="370"/>
      <c r="G236" s="26">
        <f>'FORM B'!H254</f>
        <v>2782463.75</v>
      </c>
      <c r="H236" s="26"/>
      <c r="I236" s="17"/>
      <c r="K236" s="69"/>
      <c r="L236" s="7"/>
    </row>
    <row r="237" spans="1:12" x14ac:dyDescent="0.25">
      <c r="A237" s="43">
        <f t="shared" si="3"/>
        <v>239</v>
      </c>
      <c r="B237" s="132" t="s">
        <v>290</v>
      </c>
      <c r="C237" s="43">
        <v>2018</v>
      </c>
      <c r="D237" s="783">
        <v>77672.1015625</v>
      </c>
      <c r="E237" s="784">
        <v>76382.8984375</v>
      </c>
      <c r="F237" s="370"/>
      <c r="G237" s="26">
        <f>'FORM B'!H255</f>
        <v>2740680.62</v>
      </c>
      <c r="H237" s="26"/>
      <c r="I237" s="17"/>
      <c r="K237" s="69"/>
      <c r="L237" s="7"/>
    </row>
    <row r="238" spans="1:12" x14ac:dyDescent="0.25">
      <c r="A238" s="43">
        <f t="shared" si="3"/>
        <v>240</v>
      </c>
      <c r="B238" s="132" t="s">
        <v>291</v>
      </c>
      <c r="C238" s="43">
        <v>2018</v>
      </c>
      <c r="D238" s="783">
        <v>85458</v>
      </c>
      <c r="E238" s="784">
        <v>81730</v>
      </c>
      <c r="F238" s="370"/>
      <c r="G238" s="26">
        <f>'FORM B'!H256</f>
        <v>2712031.3000000003</v>
      </c>
      <c r="H238" s="26"/>
      <c r="I238" s="17"/>
      <c r="K238" s="69"/>
      <c r="L238" s="7"/>
    </row>
    <row r="239" spans="1:12" x14ac:dyDescent="0.25">
      <c r="A239" s="43">
        <f t="shared" si="3"/>
        <v>241</v>
      </c>
      <c r="B239" s="132" t="s">
        <v>292</v>
      </c>
      <c r="C239" s="43">
        <v>2018</v>
      </c>
      <c r="D239" s="783">
        <v>82196</v>
      </c>
      <c r="E239" s="784">
        <v>79949.3984375</v>
      </c>
      <c r="F239" s="370"/>
      <c r="G239" s="26">
        <f>'FORM B'!H257</f>
        <v>2554974.1800000002</v>
      </c>
      <c r="H239" s="26"/>
      <c r="I239" s="17"/>
      <c r="K239" s="69"/>
      <c r="L239" s="7"/>
    </row>
    <row r="240" spans="1:12" x14ac:dyDescent="0.25">
      <c r="A240" s="43">
        <f t="shared" si="3"/>
        <v>242</v>
      </c>
      <c r="B240" s="132" t="s">
        <v>293</v>
      </c>
      <c r="C240" s="43">
        <v>2018</v>
      </c>
      <c r="D240" s="783">
        <v>75527.6015625</v>
      </c>
      <c r="E240" s="784">
        <v>74483.3984375</v>
      </c>
      <c r="F240" s="370"/>
      <c r="G240" s="26">
        <f>'FORM B'!H258</f>
        <v>2856222.29</v>
      </c>
      <c r="H240" s="26"/>
      <c r="I240" s="17"/>
      <c r="K240" s="69"/>
      <c r="L240" s="7"/>
    </row>
    <row r="241" spans="1:12" x14ac:dyDescent="0.25">
      <c r="A241" s="43">
        <f t="shared" si="3"/>
        <v>243</v>
      </c>
      <c r="B241" s="132" t="s">
        <v>294</v>
      </c>
      <c r="C241" s="43">
        <v>2019</v>
      </c>
      <c r="D241" s="783">
        <v>82353.6015625</v>
      </c>
      <c r="E241" s="784">
        <v>81823</v>
      </c>
      <c r="F241" s="370"/>
      <c r="G241" s="26">
        <f>'FORM B'!H259</f>
        <v>2797098.25</v>
      </c>
      <c r="H241" s="26"/>
      <c r="I241" s="17"/>
      <c r="K241" s="69"/>
      <c r="L241" s="7"/>
    </row>
    <row r="242" spans="1:12" x14ac:dyDescent="0.25">
      <c r="A242" s="43">
        <f t="shared" si="3"/>
        <v>244</v>
      </c>
      <c r="B242" s="132" t="s">
        <v>295</v>
      </c>
      <c r="C242" s="43">
        <v>2019</v>
      </c>
      <c r="D242" s="783">
        <v>76144.796875</v>
      </c>
      <c r="E242" s="784">
        <v>74154.296875</v>
      </c>
      <c r="F242" s="370"/>
      <c r="G242" s="26">
        <f>'FORM B'!H260</f>
        <v>2609454.27</v>
      </c>
      <c r="H242" s="26"/>
      <c r="I242" s="17"/>
      <c r="K242" s="69"/>
      <c r="L242" s="7"/>
    </row>
    <row r="243" spans="1:12" x14ac:dyDescent="0.25">
      <c r="A243" s="43">
        <f t="shared" si="3"/>
        <v>245</v>
      </c>
      <c r="B243" s="132" t="s">
        <v>296</v>
      </c>
      <c r="C243" s="43">
        <v>2019</v>
      </c>
      <c r="D243" s="783">
        <v>80618.8984375</v>
      </c>
      <c r="E243" s="784">
        <v>80618.8984375</v>
      </c>
      <c r="F243" s="370"/>
      <c r="G243" s="26">
        <f>'FORM B'!H261</f>
        <v>2417774.91</v>
      </c>
      <c r="H243" s="26"/>
      <c r="I243" s="17"/>
      <c r="K243" s="69"/>
      <c r="L243" s="7"/>
    </row>
    <row r="244" spans="1:12" x14ac:dyDescent="0.25">
      <c r="A244" s="43">
        <f t="shared" si="3"/>
        <v>246</v>
      </c>
      <c r="B244" s="132" t="s">
        <v>297</v>
      </c>
      <c r="C244" s="43">
        <v>2019</v>
      </c>
      <c r="D244" s="783">
        <v>76470.203125</v>
      </c>
      <c r="E244" s="784">
        <v>73753.6015625</v>
      </c>
      <c r="F244" s="370"/>
      <c r="G244" s="26">
        <f>'FORM B'!H262</f>
        <v>2566595.15</v>
      </c>
      <c r="H244" s="26"/>
      <c r="I244" s="17"/>
      <c r="K244" s="69"/>
      <c r="L244" s="7"/>
    </row>
    <row r="245" spans="1:12" x14ac:dyDescent="0.25">
      <c r="A245" s="43">
        <f t="shared" si="3"/>
        <v>247</v>
      </c>
      <c r="B245" s="132" t="s">
        <v>298</v>
      </c>
      <c r="C245" s="43">
        <v>2019</v>
      </c>
      <c r="D245" s="783">
        <v>81011.3984375</v>
      </c>
      <c r="E245" s="784">
        <v>81011.3984375</v>
      </c>
      <c r="F245" s="370"/>
      <c r="G245" s="26">
        <f>'FORM B'!H263</f>
        <v>2638118.5</v>
      </c>
      <c r="H245" s="26"/>
      <c r="I245" s="17"/>
      <c r="K245" s="69"/>
      <c r="L245" s="7"/>
    </row>
    <row r="246" spans="1:12" x14ac:dyDescent="0.25">
      <c r="A246" s="43">
        <f t="shared" si="3"/>
        <v>248</v>
      </c>
      <c r="B246" s="132" t="s">
        <v>299</v>
      </c>
      <c r="C246" s="43">
        <v>2019</v>
      </c>
      <c r="D246" s="783">
        <v>77672.1015625</v>
      </c>
      <c r="E246" s="784">
        <v>77672.1015625</v>
      </c>
      <c r="F246" s="370"/>
      <c r="G246" s="26">
        <f>'FORM B'!H264</f>
        <v>2768870.1300000008</v>
      </c>
      <c r="H246" s="26"/>
      <c r="I246" s="17"/>
      <c r="K246" s="69"/>
      <c r="L246" s="7"/>
    </row>
    <row r="247" spans="1:12" x14ac:dyDescent="0.25">
      <c r="A247" s="43">
        <f t="shared" si="3"/>
        <v>249</v>
      </c>
      <c r="B247" s="132" t="s">
        <v>300</v>
      </c>
      <c r="C247" s="43">
        <v>2019</v>
      </c>
      <c r="D247" s="783">
        <v>85458</v>
      </c>
      <c r="E247" s="784">
        <v>84437.796875</v>
      </c>
      <c r="F247" s="370"/>
      <c r="G247" s="26">
        <f>'FORM B'!H265</f>
        <v>2751264.07</v>
      </c>
      <c r="H247" s="26"/>
      <c r="I247" s="17"/>
      <c r="K247" s="69"/>
      <c r="L247" s="7"/>
    </row>
    <row r="248" spans="1:12" x14ac:dyDescent="0.25">
      <c r="A248" s="43">
        <f t="shared" si="3"/>
        <v>250</v>
      </c>
      <c r="B248" s="132" t="s">
        <v>289</v>
      </c>
      <c r="C248" s="43">
        <v>2019</v>
      </c>
      <c r="D248" s="783">
        <v>82921</v>
      </c>
      <c r="E248" s="784">
        <v>82921</v>
      </c>
      <c r="F248" s="370"/>
      <c r="G248" s="26">
        <f>'FORM B'!H266</f>
        <v>2729541.7800000003</v>
      </c>
      <c r="H248" s="26"/>
      <c r="I248" s="17"/>
      <c r="K248" s="69"/>
      <c r="L248" s="7"/>
    </row>
    <row r="249" spans="1:12" x14ac:dyDescent="0.25">
      <c r="A249" s="43">
        <f t="shared" si="3"/>
        <v>251</v>
      </c>
      <c r="B249" s="132" t="s">
        <v>290</v>
      </c>
      <c r="C249" s="43">
        <v>2019</v>
      </c>
      <c r="D249" s="783">
        <v>78064.6015625</v>
      </c>
      <c r="E249" s="784">
        <v>78064.6015625</v>
      </c>
      <c r="F249" s="370"/>
      <c r="G249" s="26">
        <f>'FORM B'!H267</f>
        <v>2738515.56</v>
      </c>
      <c r="H249" s="26"/>
      <c r="I249" s="17"/>
      <c r="K249" s="69"/>
      <c r="L249" s="7"/>
    </row>
    <row r="250" spans="1:12" x14ac:dyDescent="0.25">
      <c r="A250" s="43">
        <f t="shared" si="3"/>
        <v>252</v>
      </c>
      <c r="B250" s="132" t="s">
        <v>291</v>
      </c>
      <c r="C250" s="43">
        <v>2019</v>
      </c>
      <c r="D250" s="783">
        <v>85458</v>
      </c>
      <c r="E250" s="784">
        <v>84545.6015625</v>
      </c>
      <c r="F250" s="370"/>
      <c r="G250" s="26">
        <f>'FORM B'!H268</f>
        <v>2780375.0900000008</v>
      </c>
      <c r="H250" s="26"/>
      <c r="I250" s="17"/>
      <c r="K250" s="69"/>
      <c r="L250" s="7"/>
    </row>
    <row r="251" spans="1:12" x14ac:dyDescent="0.25">
      <c r="A251" s="43">
        <f t="shared" si="3"/>
        <v>253</v>
      </c>
      <c r="B251" s="132" t="s">
        <v>292</v>
      </c>
      <c r="C251" s="43">
        <v>2019</v>
      </c>
      <c r="D251" s="783">
        <v>81803.5</v>
      </c>
      <c r="E251" s="784">
        <v>77056.203125</v>
      </c>
      <c r="F251" s="370"/>
      <c r="G251" s="26">
        <f>'FORM B'!H269</f>
        <v>2634787.7800000003</v>
      </c>
      <c r="H251" s="26"/>
      <c r="I251" s="17"/>
      <c r="K251" s="69"/>
      <c r="L251" s="7"/>
    </row>
    <row r="252" spans="1:12" x14ac:dyDescent="0.25">
      <c r="A252" s="43">
        <f t="shared" si="3"/>
        <v>254</v>
      </c>
      <c r="B252" s="132" t="s">
        <v>293</v>
      </c>
      <c r="C252" s="43">
        <v>2019</v>
      </c>
      <c r="D252" s="783">
        <v>75920.1015625</v>
      </c>
      <c r="E252" s="784">
        <v>70323</v>
      </c>
      <c r="F252" s="370"/>
      <c r="G252" s="26">
        <f>'FORM B'!H270</f>
        <v>2776691.65</v>
      </c>
      <c r="H252" s="26"/>
      <c r="I252" s="17"/>
      <c r="K252" s="69"/>
      <c r="L252" s="7"/>
    </row>
    <row r="253" spans="1:12" x14ac:dyDescent="0.25">
      <c r="A253" s="43">
        <f t="shared" si="3"/>
        <v>255</v>
      </c>
      <c r="B253" s="132" t="s">
        <v>294</v>
      </c>
      <c r="C253" s="43">
        <v>2020</v>
      </c>
      <c r="D253" s="783">
        <v>83155.8984375</v>
      </c>
      <c r="E253" s="784">
        <v>82895.1015625</v>
      </c>
      <c r="F253" s="370"/>
      <c r="G253" s="26">
        <f>'FORM B'!H271</f>
        <v>2646984.35</v>
      </c>
      <c r="H253" s="26"/>
      <c r="I253" s="17"/>
      <c r="K253" s="69"/>
      <c r="L253" s="7"/>
    </row>
    <row r="254" spans="1:12" x14ac:dyDescent="0.25">
      <c r="A254" s="43">
        <f t="shared" si="3"/>
        <v>256</v>
      </c>
      <c r="B254" s="132" t="s">
        <v>295</v>
      </c>
      <c r="C254" s="43">
        <v>2020</v>
      </c>
      <c r="D254" s="783">
        <v>78856.703125</v>
      </c>
      <c r="E254" s="784">
        <v>78067.8984375</v>
      </c>
      <c r="F254" s="370"/>
      <c r="G254" s="26">
        <f>'FORM B'!H272</f>
        <v>2793419.97</v>
      </c>
      <c r="H254" s="26"/>
      <c r="I254" s="17"/>
      <c r="K254" s="69"/>
      <c r="L254" s="7"/>
    </row>
    <row r="255" spans="1:12" x14ac:dyDescent="0.25">
      <c r="A255" s="43">
        <f t="shared" si="3"/>
        <v>257</v>
      </c>
      <c r="B255" s="132" t="s">
        <v>296</v>
      </c>
      <c r="C255" s="43">
        <v>2020</v>
      </c>
      <c r="D255" s="783">
        <v>81561.5</v>
      </c>
      <c r="E255" s="784">
        <v>81561.5</v>
      </c>
      <c r="F255" s="370"/>
      <c r="G255" s="26">
        <f>'FORM B'!H273</f>
        <v>2839432.58</v>
      </c>
      <c r="H255" s="26"/>
      <c r="I255" s="17"/>
      <c r="K255" s="69"/>
      <c r="L255" s="7"/>
    </row>
    <row r="256" spans="1:12" x14ac:dyDescent="0.25">
      <c r="A256" s="43">
        <f t="shared" si="3"/>
        <v>258</v>
      </c>
      <c r="B256" s="132" t="s">
        <v>297</v>
      </c>
      <c r="C256" s="43">
        <v>2020</v>
      </c>
      <c r="D256" s="783">
        <v>76077.703125</v>
      </c>
      <c r="E256" s="785">
        <v>7767.60009765625</v>
      </c>
      <c r="F256" s="370"/>
      <c r="G256" s="26">
        <f>'FORM B'!H274</f>
        <v>2758811.58</v>
      </c>
      <c r="H256" s="26"/>
      <c r="I256" s="17"/>
      <c r="K256" s="69"/>
      <c r="L256" s="7"/>
    </row>
    <row r="257" spans="1:12" x14ac:dyDescent="0.25">
      <c r="A257" s="43">
        <f t="shared" si="3"/>
        <v>259</v>
      </c>
      <c r="B257" s="132" t="s">
        <v>298</v>
      </c>
      <c r="C257" s="43">
        <v>2020</v>
      </c>
      <c r="D257" s="585">
        <v>80776.5</v>
      </c>
      <c r="E257" s="585">
        <v>61766.899999999994</v>
      </c>
      <c r="F257" s="370"/>
      <c r="G257" s="26">
        <f>'FORM B'!H275</f>
        <v>1656759.12</v>
      </c>
      <c r="H257" s="26"/>
      <c r="I257" s="17"/>
      <c r="K257" s="69"/>
      <c r="L257" s="7"/>
    </row>
    <row r="258" spans="1:12" x14ac:dyDescent="0.25">
      <c r="A258" s="43">
        <f t="shared" si="3"/>
        <v>260</v>
      </c>
      <c r="B258" s="132" t="s">
        <v>299</v>
      </c>
      <c r="C258" s="43">
        <v>2020</v>
      </c>
      <c r="D258" s="585">
        <v>80776.5</v>
      </c>
      <c r="E258" s="585">
        <v>61766.899999999994</v>
      </c>
      <c r="F258" s="370"/>
      <c r="G258" s="26">
        <f>'FORM B'!H276</f>
        <v>2376903.4300000002</v>
      </c>
      <c r="H258" s="26"/>
      <c r="I258" s="17"/>
      <c r="K258" s="69"/>
      <c r="L258" s="7"/>
    </row>
    <row r="259" spans="1:12" x14ac:dyDescent="0.25">
      <c r="A259" s="43">
        <f t="shared" si="3"/>
        <v>261</v>
      </c>
      <c r="B259" s="132" t="s">
        <v>300</v>
      </c>
      <c r="C259" s="43">
        <v>2020</v>
      </c>
      <c r="D259" s="585">
        <v>80209.100000000006</v>
      </c>
      <c r="E259" s="585">
        <v>77619.399999999994</v>
      </c>
      <c r="F259" s="370"/>
      <c r="G259" s="26">
        <f>'FORM B'!H277</f>
        <v>2366868.35</v>
      </c>
      <c r="H259" s="26"/>
      <c r="I259" s="17"/>
      <c r="K259" s="69"/>
      <c r="L259" s="7"/>
    </row>
    <row r="260" spans="1:12" x14ac:dyDescent="0.25">
      <c r="A260" s="51">
        <v>262</v>
      </c>
      <c r="B260" s="132" t="s">
        <v>289</v>
      </c>
      <c r="C260" s="43">
        <v>2020</v>
      </c>
      <c r="D260" s="585">
        <v>85300.400000000023</v>
      </c>
      <c r="E260" s="585">
        <v>85300.400000000023</v>
      </c>
      <c r="F260" s="370"/>
      <c r="G260" s="26">
        <f>'FORM B'!H278</f>
        <v>2213597.9700000002</v>
      </c>
      <c r="H260" s="26"/>
      <c r="I260" s="17"/>
      <c r="K260" s="69"/>
      <c r="L260" s="7"/>
    </row>
    <row r="261" spans="1:12" x14ac:dyDescent="0.25">
      <c r="A261" s="51">
        <v>263</v>
      </c>
      <c r="B261" s="132" t="s">
        <v>290</v>
      </c>
      <c r="C261" s="43">
        <v>2020</v>
      </c>
      <c r="D261" s="585">
        <v>80776.5</v>
      </c>
      <c r="E261" s="585">
        <v>80776.5</v>
      </c>
      <c r="F261" s="370"/>
      <c r="G261" s="26">
        <f>'FORM B'!H279</f>
        <v>2737288.37</v>
      </c>
      <c r="H261" s="26"/>
      <c r="I261" s="17"/>
      <c r="K261" s="69"/>
      <c r="L261" s="7"/>
    </row>
    <row r="262" spans="1:12" x14ac:dyDescent="0.25">
      <c r="A262" s="51">
        <v>264</v>
      </c>
      <c r="B262" s="132" t="s">
        <v>291</v>
      </c>
      <c r="C262" s="43">
        <v>2020</v>
      </c>
      <c r="D262" s="585">
        <v>80209.100000000006</v>
      </c>
      <c r="E262" s="585">
        <v>79097.5</v>
      </c>
      <c r="F262" s="370"/>
      <c r="G262" s="26">
        <f>'FORM B'!H280</f>
        <v>2645362.21</v>
      </c>
      <c r="H262" s="26"/>
      <c r="I262" s="17"/>
      <c r="K262" s="69"/>
      <c r="L262" s="7"/>
    </row>
    <row r="263" spans="1:12" x14ac:dyDescent="0.25">
      <c r="A263" s="51">
        <v>265</v>
      </c>
      <c r="B263" s="132" t="s">
        <v>292</v>
      </c>
      <c r="C263" s="43">
        <v>2020</v>
      </c>
      <c r="D263" s="585">
        <v>84907.900000000023</v>
      </c>
      <c r="E263" s="585">
        <v>79387.600000000006</v>
      </c>
      <c r="F263" s="370"/>
      <c r="G263" s="26">
        <f>'FORM B'!H281</f>
        <v>2680357.88</v>
      </c>
      <c r="H263" s="26"/>
      <c r="I263" s="17"/>
      <c r="K263" s="69"/>
      <c r="L263" s="7"/>
    </row>
    <row r="264" spans="1:12" x14ac:dyDescent="0.25">
      <c r="A264" s="51">
        <v>266</v>
      </c>
      <c r="B264" s="132" t="s">
        <v>293</v>
      </c>
      <c r="C264" s="43">
        <v>2020</v>
      </c>
      <c r="D264" s="585">
        <v>80209.100000000006</v>
      </c>
      <c r="E264" s="585">
        <v>80209.100000000006</v>
      </c>
      <c r="F264" s="370"/>
      <c r="G264" s="26">
        <f>'FORM B'!H282</f>
        <v>2469156.5299999998</v>
      </c>
      <c r="H264" s="26"/>
      <c r="I264" s="17"/>
      <c r="K264" s="69"/>
      <c r="L264" s="7"/>
    </row>
    <row r="265" spans="1:12" x14ac:dyDescent="0.25">
      <c r="A265" s="51">
        <v>267</v>
      </c>
      <c r="B265" s="132" t="s">
        <v>294</v>
      </c>
      <c r="C265" s="43">
        <v>2020</v>
      </c>
      <c r="D265" s="585">
        <v>79574.600000000006</v>
      </c>
      <c r="E265" s="585">
        <v>79340.600000000006</v>
      </c>
      <c r="F265" s="370"/>
      <c r="G265" s="26">
        <f>'FORM B'!H283</f>
        <v>2666220.5099999998</v>
      </c>
      <c r="H265" s="26"/>
      <c r="I265" s="17"/>
      <c r="K265" s="69"/>
      <c r="L265" s="7"/>
    </row>
    <row r="266" spans="1:12" x14ac:dyDescent="0.25">
      <c r="A266" s="51">
        <v>268</v>
      </c>
      <c r="B266" s="132" t="s">
        <v>295</v>
      </c>
      <c r="C266" s="804">
        <v>2021</v>
      </c>
      <c r="D266" s="585">
        <v>80776.5</v>
      </c>
      <c r="E266" s="585">
        <v>77904.100000000006</v>
      </c>
      <c r="F266" s="370"/>
      <c r="G266" s="26">
        <f>'FORM B'!H284</f>
        <v>2543519.2599999998</v>
      </c>
      <c r="H266" s="26"/>
      <c r="I266" s="17"/>
      <c r="K266" s="69"/>
      <c r="L266" s="7"/>
    </row>
    <row r="267" spans="1:12" x14ac:dyDescent="0.25">
      <c r="A267" s="51">
        <v>269</v>
      </c>
      <c r="B267" s="132" t="s">
        <v>296</v>
      </c>
      <c r="C267" s="804">
        <v>2021</v>
      </c>
      <c r="D267" s="585">
        <v>76144.799999999988</v>
      </c>
      <c r="E267" s="585">
        <v>65887.700000000012</v>
      </c>
      <c r="F267" s="370"/>
      <c r="G267" s="26">
        <f>'FORM B'!H285</f>
        <v>2481269.36</v>
      </c>
      <c r="H267" s="26"/>
      <c r="I267" s="17"/>
      <c r="K267" s="69"/>
      <c r="L267" s="7"/>
    </row>
    <row r="268" spans="1:12" x14ac:dyDescent="0.25">
      <c r="A268" s="51">
        <v>270</v>
      </c>
      <c r="B268" s="132" t="s">
        <v>297</v>
      </c>
      <c r="C268" s="804">
        <v>2021</v>
      </c>
      <c r="D268" s="585">
        <v>83313.500000000015</v>
      </c>
      <c r="E268" s="585">
        <v>83313.500000000015</v>
      </c>
      <c r="F268" s="370"/>
      <c r="G268" s="26">
        <f>'FORM B'!H286</f>
        <v>2695839.03</v>
      </c>
      <c r="H268" s="26"/>
      <c r="I268" s="17"/>
      <c r="K268" s="69"/>
      <c r="L268" s="7"/>
    </row>
    <row r="269" spans="1:12" x14ac:dyDescent="0.25">
      <c r="A269" s="51">
        <v>271</v>
      </c>
      <c r="B269" s="132" t="s">
        <v>298</v>
      </c>
      <c r="C269" s="804">
        <v>2021</v>
      </c>
      <c r="D269" s="585">
        <v>75920.099999999977</v>
      </c>
      <c r="E269" s="585">
        <v>75491.099999999977</v>
      </c>
      <c r="F269" s="370"/>
      <c r="G269" s="26">
        <f>'FORM B'!H287</f>
        <v>2796796.5</v>
      </c>
      <c r="H269" s="26"/>
      <c r="I269" s="17"/>
      <c r="K269" s="69"/>
      <c r="L269" s="7"/>
    </row>
    <row r="270" spans="1:12" x14ac:dyDescent="0.25">
      <c r="A270" s="51">
        <v>272</v>
      </c>
      <c r="B270" s="132" t="s">
        <v>299</v>
      </c>
      <c r="C270" s="804">
        <v>2021</v>
      </c>
      <c r="D270" s="585">
        <v>81169</v>
      </c>
      <c r="E270" s="585">
        <v>81169</v>
      </c>
      <c r="F270" s="370"/>
      <c r="G270" s="26">
        <f>'FORM B'!H288</f>
        <v>2800161.88</v>
      </c>
      <c r="H270" s="26"/>
      <c r="I270" s="17"/>
      <c r="K270" s="69"/>
      <c r="L270" s="7"/>
    </row>
    <row r="271" spans="1:12" x14ac:dyDescent="0.25">
      <c r="A271" s="51">
        <v>273</v>
      </c>
      <c r="B271" s="132" t="s">
        <v>300</v>
      </c>
      <c r="C271" s="804">
        <v>2021</v>
      </c>
      <c r="D271" s="585">
        <v>80209.100000000006</v>
      </c>
      <c r="E271" s="585">
        <v>77725.900000000009</v>
      </c>
      <c r="F271" s="370"/>
      <c r="G271" s="26">
        <f>'FORM B'!H289</f>
        <v>2639490.4399999976</v>
      </c>
      <c r="H271" s="26"/>
      <c r="I271" s="17"/>
      <c r="K271" s="69"/>
      <c r="L271" s="7"/>
    </row>
    <row r="272" spans="1:12" x14ac:dyDescent="0.25">
      <c r="A272" s="51">
        <v>274</v>
      </c>
      <c r="B272" s="132" t="s">
        <v>289</v>
      </c>
      <c r="C272" s="804">
        <v>2021</v>
      </c>
      <c r="D272" s="585">
        <v>84907.900000000023</v>
      </c>
      <c r="E272" s="585">
        <v>66183.800000000017</v>
      </c>
      <c r="F272" s="370"/>
      <c r="G272" s="26">
        <f>'FORM B'!H290</f>
        <v>2637762.4700000002</v>
      </c>
      <c r="H272" s="26"/>
      <c r="I272" s="17"/>
      <c r="K272" s="69"/>
      <c r="L272" s="7"/>
    </row>
    <row r="273" spans="1:12" x14ac:dyDescent="0.25">
      <c r="A273" s="51">
        <v>275</v>
      </c>
      <c r="B273" s="132" t="s">
        <v>290</v>
      </c>
      <c r="C273" s="804">
        <v>2021</v>
      </c>
      <c r="D273" s="585">
        <v>81169</v>
      </c>
      <c r="E273" s="585">
        <v>81169</v>
      </c>
      <c r="F273" s="370"/>
      <c r="G273" s="26">
        <f>'FORM B'!H291</f>
        <v>2818432.91</v>
      </c>
      <c r="H273" s="26"/>
      <c r="I273" s="17"/>
      <c r="K273" s="69"/>
      <c r="L273" s="7"/>
    </row>
    <row r="274" spans="1:12" x14ac:dyDescent="0.25">
      <c r="A274" s="51">
        <v>276</v>
      </c>
      <c r="B274" s="132" t="s">
        <v>291</v>
      </c>
      <c r="C274" s="804">
        <v>2021</v>
      </c>
      <c r="D274" s="585">
        <v>80366.700000000012</v>
      </c>
      <c r="E274" s="585">
        <v>80366.700000000012</v>
      </c>
      <c r="F274" s="370"/>
      <c r="G274" s="26">
        <f>'FORM B'!H292</f>
        <v>2839620.71</v>
      </c>
      <c r="H274" s="26"/>
      <c r="I274" s="17"/>
      <c r="K274" s="69"/>
      <c r="L274" s="7"/>
    </row>
    <row r="275" spans="1:12" x14ac:dyDescent="0.25">
      <c r="A275" s="51">
        <v>277</v>
      </c>
      <c r="B275" s="132" t="s">
        <v>292</v>
      </c>
      <c r="C275" s="804">
        <v>2021</v>
      </c>
      <c r="D275" s="585">
        <v>82763.400000000009</v>
      </c>
      <c r="E275" s="585">
        <v>80177.400000000023</v>
      </c>
      <c r="F275" s="370"/>
      <c r="G275" s="26">
        <f>'FORM B'!H293</f>
        <v>3016442.88</v>
      </c>
      <c r="H275" s="26"/>
      <c r="I275" s="17"/>
      <c r="K275" s="69"/>
      <c r="L275" s="7"/>
    </row>
    <row r="276" spans="1:12" x14ac:dyDescent="0.25">
      <c r="A276" s="51">
        <v>278</v>
      </c>
      <c r="B276" s="132" t="s">
        <v>293</v>
      </c>
      <c r="C276" s="804">
        <v>2021</v>
      </c>
      <c r="D276" s="585">
        <v>82353.600000000006</v>
      </c>
      <c r="E276" s="585">
        <v>82353.600000000006</v>
      </c>
      <c r="F276" s="370"/>
      <c r="G276" s="26">
        <f>'FORM B'!H294</f>
        <v>2937738.73</v>
      </c>
      <c r="H276" s="26"/>
      <c r="I276" s="17"/>
      <c r="K276" s="69"/>
      <c r="L276" s="7"/>
    </row>
    <row r="277" spans="1:12" x14ac:dyDescent="0.25">
      <c r="A277" s="51">
        <v>279</v>
      </c>
      <c r="B277" s="132" t="s">
        <v>294</v>
      </c>
      <c r="C277" s="804">
        <v>2021</v>
      </c>
      <c r="D277" s="585">
        <v>79259.399999999994</v>
      </c>
      <c r="E277" s="585">
        <v>78369.600000000006</v>
      </c>
      <c r="F277" s="370"/>
      <c r="G277" s="26">
        <f>'FORM B'!H295</f>
        <v>3135270.81</v>
      </c>
      <c r="H277" s="26"/>
      <c r="I277" s="17"/>
      <c r="K277" s="69"/>
      <c r="L277" s="7"/>
    </row>
    <row r="278" spans="1:12" x14ac:dyDescent="0.25">
      <c r="A278" s="51">
        <v>280</v>
      </c>
      <c r="B278" s="132" t="s">
        <v>295</v>
      </c>
      <c r="C278" s="804">
        <v>2022</v>
      </c>
      <c r="D278" s="585">
        <v>81169</v>
      </c>
      <c r="E278" s="585">
        <v>81169</v>
      </c>
      <c r="F278" s="370"/>
      <c r="G278" s="26">
        <f>'FORM B'!H296</f>
        <v>3109313.45</v>
      </c>
      <c r="H278" s="26"/>
      <c r="I278" s="17"/>
      <c r="K278" s="69"/>
      <c r="L278" s="7"/>
    </row>
    <row r="279" spans="1:12" x14ac:dyDescent="0.25">
      <c r="A279" s="51">
        <v>281</v>
      </c>
      <c r="B279" s="132" t="s">
        <v>296</v>
      </c>
      <c r="C279" s="804">
        <v>2022</v>
      </c>
      <c r="D279" s="585">
        <v>76144.799999999988</v>
      </c>
      <c r="E279" s="585">
        <v>76144.799999999988</v>
      </c>
      <c r="F279" s="370"/>
      <c r="G279" s="26">
        <f>'FORM B'!H297</f>
        <v>2939961.49</v>
      </c>
      <c r="H279" s="26"/>
      <c r="I279" s="17"/>
      <c r="K279" s="69"/>
      <c r="L279" s="7"/>
    </row>
    <row r="280" spans="1:12" x14ac:dyDescent="0.25">
      <c r="A280" s="51">
        <v>282</v>
      </c>
      <c r="B280" s="132" t="s">
        <v>297</v>
      </c>
      <c r="C280" s="804">
        <v>2022</v>
      </c>
      <c r="D280" s="585">
        <v>83313.500000000015</v>
      </c>
      <c r="E280" s="585">
        <v>83313.500000000015</v>
      </c>
      <c r="F280" s="370"/>
      <c r="G280" s="26">
        <f>'FORM B'!H298</f>
        <v>3082347.02</v>
      </c>
      <c r="H280" s="26"/>
      <c r="I280" s="17"/>
      <c r="K280" s="69"/>
      <c r="L280" s="7"/>
    </row>
    <row r="281" spans="1:12" x14ac:dyDescent="0.25">
      <c r="A281" s="51">
        <v>283</v>
      </c>
      <c r="B281" s="132" t="s">
        <v>298</v>
      </c>
      <c r="C281" s="804">
        <v>2022</v>
      </c>
      <c r="D281" s="585">
        <v>75527.599999999977</v>
      </c>
      <c r="E281" s="585">
        <v>73879.200000000026</v>
      </c>
      <c r="F281" s="370"/>
      <c r="G281" s="26">
        <f>'FORM B'!H299</f>
        <v>3346770.78</v>
      </c>
      <c r="H281" s="26"/>
      <c r="I281" s="17"/>
      <c r="K281" s="69"/>
      <c r="L281" s="7"/>
    </row>
    <row r="282" spans="1:12" x14ac:dyDescent="0.25">
      <c r="A282" s="51">
        <v>284</v>
      </c>
      <c r="B282" s="132" t="s">
        <v>299</v>
      </c>
      <c r="C282" s="804">
        <v>2022</v>
      </c>
      <c r="D282" s="585">
        <v>81169</v>
      </c>
      <c r="E282" s="585">
        <v>80497.200000000012</v>
      </c>
      <c r="F282" s="370"/>
      <c r="G282" s="26">
        <f>'FORM B'!H300</f>
        <v>3407939.68</v>
      </c>
      <c r="H282" s="26"/>
      <c r="I282" s="17"/>
      <c r="K282" s="69"/>
      <c r="L282" s="7"/>
    </row>
    <row r="283" spans="1:12" x14ac:dyDescent="0.25">
      <c r="A283" s="51">
        <v>285</v>
      </c>
      <c r="B283" s="132" t="s">
        <v>300</v>
      </c>
      <c r="C283" s="804">
        <v>2022</v>
      </c>
      <c r="D283" s="585">
        <v>80209.100000000006</v>
      </c>
      <c r="E283" s="585">
        <v>80209.100000000006</v>
      </c>
      <c r="F283" s="370"/>
      <c r="G283" s="26">
        <f>'FORM B'!H301</f>
        <v>3398356.72</v>
      </c>
      <c r="H283" s="26"/>
      <c r="I283" s="17"/>
      <c r="K283" s="69"/>
      <c r="L283" s="7"/>
    </row>
    <row r="284" spans="1:12" x14ac:dyDescent="0.25">
      <c r="A284" s="51">
        <v>286</v>
      </c>
      <c r="B284" s="132" t="s">
        <v>289</v>
      </c>
      <c r="C284" s="804">
        <v>2022</v>
      </c>
      <c r="D284" s="585">
        <v>82763.400000000009</v>
      </c>
      <c r="E284" s="585">
        <v>82763.400000000009</v>
      </c>
      <c r="F284" s="370"/>
      <c r="G284" s="26">
        <f>'FORM B'!H302</f>
        <v>3651163.8</v>
      </c>
      <c r="H284" s="26"/>
      <c r="I284" s="17"/>
      <c r="K284" s="69"/>
      <c r="L284" s="7"/>
    </row>
    <row r="285" spans="1:12" x14ac:dyDescent="0.25">
      <c r="A285" s="51">
        <v>287</v>
      </c>
      <c r="B285" s="132" t="s">
        <v>290</v>
      </c>
      <c r="C285" s="804">
        <v>2022</v>
      </c>
      <c r="D285" s="585">
        <v>83313.500000000015</v>
      </c>
      <c r="E285" s="585">
        <v>83313.500000000015</v>
      </c>
      <c r="F285" s="370"/>
      <c r="G285" s="26">
        <f>'FORM B'!H303</f>
        <v>3953348.64</v>
      </c>
      <c r="H285" s="26"/>
      <c r="I285" s="17"/>
      <c r="K285" s="69"/>
      <c r="L285" s="7"/>
    </row>
    <row r="286" spans="1:12" x14ac:dyDescent="0.25">
      <c r="A286" s="51">
        <v>288</v>
      </c>
      <c r="B286" s="132" t="s">
        <v>291</v>
      </c>
      <c r="C286" s="804">
        <v>2022</v>
      </c>
      <c r="D286" s="585">
        <v>80444</v>
      </c>
      <c r="E286" s="585">
        <v>80444</v>
      </c>
      <c r="F286" s="370"/>
      <c r="G286" s="26">
        <f>'FORM B'!H304</f>
        <v>3502715.76</v>
      </c>
      <c r="H286" s="26"/>
      <c r="I286" s="17"/>
      <c r="K286" s="69"/>
      <c r="L286" s="7"/>
    </row>
    <row r="287" spans="1:12" x14ac:dyDescent="0.25">
      <c r="A287" s="51">
        <v>289</v>
      </c>
      <c r="B287" s="132" t="s">
        <v>292</v>
      </c>
      <c r="C287" s="804">
        <v>2022</v>
      </c>
      <c r="D287" s="585">
        <v>82921.000000000015</v>
      </c>
      <c r="E287" s="585">
        <v>82921.000000000015</v>
      </c>
      <c r="F287" s="370"/>
      <c r="G287" s="26">
        <f>'FORM B'!H305</f>
        <v>3606277.84</v>
      </c>
      <c r="H287" s="26"/>
      <c r="I287" s="17"/>
      <c r="K287" s="69"/>
      <c r="L287" s="7"/>
    </row>
    <row r="288" spans="1:12" x14ac:dyDescent="0.25">
      <c r="A288" s="51">
        <v>290</v>
      </c>
      <c r="B288" s="132" t="s">
        <v>293</v>
      </c>
      <c r="C288" s="804">
        <v>2022</v>
      </c>
      <c r="D288" s="585">
        <v>82353.600000000006</v>
      </c>
      <c r="E288" s="585">
        <v>82353.600000000006</v>
      </c>
      <c r="F288" s="370"/>
      <c r="G288" s="26">
        <f>'FORM B'!H306</f>
        <v>3641695.36</v>
      </c>
      <c r="H288" s="26"/>
      <c r="I288" s="17"/>
      <c r="K288" s="69"/>
      <c r="L288" s="7"/>
    </row>
    <row r="289" spans="1:12" x14ac:dyDescent="0.25">
      <c r="A289" s="51">
        <v>291</v>
      </c>
      <c r="B289" s="132" t="s">
        <v>294</v>
      </c>
      <c r="C289" s="804">
        <v>2022</v>
      </c>
      <c r="D289" s="585">
        <v>78632</v>
      </c>
      <c r="E289" s="585">
        <v>78632</v>
      </c>
      <c r="F289" s="370"/>
      <c r="G289" s="26">
        <f>'FORM B'!H307</f>
        <v>3915358.57</v>
      </c>
      <c r="H289" s="26"/>
      <c r="I289" s="17"/>
      <c r="K289" s="69"/>
      <c r="L289" s="7"/>
    </row>
    <row r="290" spans="1:12" x14ac:dyDescent="0.25">
      <c r="A290" s="51">
        <v>292</v>
      </c>
      <c r="B290" s="132" t="s">
        <v>295</v>
      </c>
      <c r="C290" s="804">
        <v>2023</v>
      </c>
      <c r="D290" s="585">
        <v>81169</v>
      </c>
      <c r="E290" s="585">
        <v>80478</v>
      </c>
      <c r="F290" s="370"/>
      <c r="G290" s="26">
        <f>'FORM B'!H308</f>
        <v>3436345.41</v>
      </c>
      <c r="H290" s="26"/>
      <c r="I290" s="17"/>
      <c r="K290" s="69"/>
      <c r="L290" s="7"/>
    </row>
    <row r="291" spans="1:12" x14ac:dyDescent="0.25">
      <c r="A291" s="51">
        <v>293</v>
      </c>
      <c r="B291" s="132" t="s">
        <v>296</v>
      </c>
      <c r="C291" s="804">
        <v>2023</v>
      </c>
      <c r="D291" s="585">
        <v>76144.799999999988</v>
      </c>
      <c r="E291" s="585">
        <v>70881.8</v>
      </c>
      <c r="F291" s="370"/>
      <c r="G291" s="26">
        <f>'FORM B'!H309</f>
        <v>3058669.75</v>
      </c>
      <c r="H291" s="26"/>
      <c r="I291" s="17"/>
      <c r="K291" s="69"/>
      <c r="L291" s="7"/>
    </row>
    <row r="292" spans="1:12" x14ac:dyDescent="0.25">
      <c r="A292" s="51">
        <v>294</v>
      </c>
      <c r="B292" s="132" t="s">
        <v>297</v>
      </c>
      <c r="C292" s="804">
        <v>2023</v>
      </c>
      <c r="D292" s="585">
        <v>83155.900000000009</v>
      </c>
      <c r="E292" s="585">
        <v>83155.900000000009</v>
      </c>
      <c r="F292" s="370"/>
      <c r="G292" s="26">
        <f>'FORM B'!H310</f>
        <v>3446933.53</v>
      </c>
      <c r="H292" s="26"/>
      <c r="I292" s="17"/>
      <c r="K292" s="69"/>
      <c r="L292" s="7"/>
    </row>
    <row r="293" spans="1:12" x14ac:dyDescent="0.25">
      <c r="A293" s="51">
        <v>295</v>
      </c>
      <c r="B293" s="132" t="s">
        <v>298</v>
      </c>
      <c r="C293" s="804">
        <v>2023</v>
      </c>
      <c r="D293" s="585">
        <v>73540.700000000012</v>
      </c>
      <c r="E293" s="585">
        <v>73540.700000000012</v>
      </c>
      <c r="F293" s="370"/>
      <c r="G293" s="26">
        <f>'FORM B'!H311</f>
        <v>3492639.17</v>
      </c>
      <c r="H293" s="26"/>
      <c r="I293" s="17"/>
      <c r="K293" s="69"/>
      <c r="L293" s="7"/>
    </row>
    <row r="294" spans="1:12" x14ac:dyDescent="0.25">
      <c r="A294" s="51">
        <v>296</v>
      </c>
      <c r="B294" s="132" t="s">
        <v>299</v>
      </c>
      <c r="C294" s="804">
        <v>2023</v>
      </c>
      <c r="D294" s="585">
        <v>83313.500000000015</v>
      </c>
      <c r="E294" s="585">
        <v>82349.700000000012</v>
      </c>
      <c r="F294" s="370"/>
      <c r="G294" s="26">
        <f>'FORM B'!H312</f>
        <v>3315340.77</v>
      </c>
      <c r="H294" s="26"/>
      <c r="I294" s="17"/>
      <c r="K294" s="69"/>
      <c r="L294" s="7"/>
    </row>
    <row r="295" spans="1:12" x14ac:dyDescent="0.25">
      <c r="A295" s="51">
        <v>297</v>
      </c>
      <c r="B295" s="132" t="s">
        <v>300</v>
      </c>
      <c r="C295" s="804">
        <v>2023</v>
      </c>
      <c r="D295" s="585">
        <v>80209.100000000006</v>
      </c>
      <c r="E295" s="585">
        <v>76739.799999999988</v>
      </c>
      <c r="F295" s="370"/>
      <c r="G295" s="26">
        <f>'FORM B'!H313</f>
        <v>3001071.14</v>
      </c>
      <c r="H295" s="26"/>
      <c r="I295" s="17"/>
      <c r="K295" s="69"/>
      <c r="L295" s="7"/>
    </row>
    <row r="296" spans="1:12" x14ac:dyDescent="0.25">
      <c r="A296" s="51">
        <v>298</v>
      </c>
      <c r="B296" s="132" t="s">
        <v>289</v>
      </c>
      <c r="C296" s="804">
        <v>2023</v>
      </c>
      <c r="D296" s="585">
        <v>82921.000000000015</v>
      </c>
      <c r="E296" s="585">
        <v>82921.000000000015</v>
      </c>
      <c r="F296" s="370"/>
      <c r="G296" s="26">
        <f>'FORM B'!H314</f>
        <v>3333363.14</v>
      </c>
      <c r="H296" s="26"/>
      <c r="I296" s="17"/>
      <c r="K296" s="69"/>
      <c r="L296" s="7"/>
    </row>
    <row r="297" spans="1:12" x14ac:dyDescent="0.25">
      <c r="A297" s="51">
        <v>299</v>
      </c>
      <c r="B297" s="132" t="s">
        <v>290</v>
      </c>
      <c r="C297" s="804">
        <v>2023</v>
      </c>
      <c r="D297" s="585">
        <v>83313.500000000015</v>
      </c>
      <c r="E297" s="585">
        <v>83313.500000000015</v>
      </c>
      <c r="F297" s="370"/>
      <c r="G297" s="26">
        <f>'FORM B'!H315</f>
        <v>3373028.59</v>
      </c>
      <c r="H297" s="26"/>
      <c r="I297" s="17"/>
      <c r="K297" s="69"/>
      <c r="L297" s="7"/>
    </row>
    <row r="298" spans="1:12" x14ac:dyDescent="0.25">
      <c r="A298" s="51">
        <v>300</v>
      </c>
      <c r="B298" s="132" t="s">
        <v>291</v>
      </c>
      <c r="C298" s="804">
        <v>2023</v>
      </c>
      <c r="D298" s="585">
        <v>79659</v>
      </c>
      <c r="E298" s="585">
        <v>79659</v>
      </c>
      <c r="F298" s="370"/>
      <c r="G298" s="26">
        <f>'FORM B'!H316</f>
        <v>3548261.41</v>
      </c>
      <c r="H298" s="26"/>
      <c r="I298" s="17"/>
      <c r="K298" s="69"/>
      <c r="L298" s="7"/>
    </row>
    <row r="299" spans="1:12" x14ac:dyDescent="0.25">
      <c r="A299" s="51">
        <v>301</v>
      </c>
      <c r="B299" s="132" t="s">
        <v>292</v>
      </c>
      <c r="C299" s="804">
        <v>2023</v>
      </c>
      <c r="D299" s="585">
        <v>83313.500000000015</v>
      </c>
      <c r="E299" s="585">
        <v>82486.3</v>
      </c>
      <c r="F299" s="370"/>
      <c r="G299" s="26">
        <f>'FORM B'!H317</f>
        <v>3856681.82</v>
      </c>
      <c r="H299" s="26"/>
      <c r="I299" s="17"/>
      <c r="K299" s="69"/>
      <c r="L299" s="7"/>
    </row>
    <row r="300" spans="1:12" x14ac:dyDescent="0.25">
      <c r="A300" s="51">
        <v>302</v>
      </c>
      <c r="B300" s="132" t="s">
        <v>293</v>
      </c>
      <c r="C300" s="804">
        <v>2023</v>
      </c>
      <c r="D300" s="585">
        <v>82353.600000000006</v>
      </c>
      <c r="E300" s="585">
        <v>82353.600000000006</v>
      </c>
      <c r="F300" s="370"/>
      <c r="G300" s="26">
        <f>'FORM B'!H318</f>
        <v>3904957.9</v>
      </c>
      <c r="H300" s="26"/>
      <c r="I300" s="17"/>
      <c r="K300" s="69"/>
      <c r="L300" s="7"/>
    </row>
    <row r="301" spans="1:12" x14ac:dyDescent="0.25">
      <c r="A301" s="51">
        <v>303</v>
      </c>
      <c r="B301" s="132" t="s">
        <v>294</v>
      </c>
      <c r="C301" s="804">
        <v>2023</v>
      </c>
      <c r="D301" s="585">
        <v>74735.5</v>
      </c>
      <c r="E301" s="585">
        <v>74438.899999999994</v>
      </c>
      <c r="F301" s="370"/>
      <c r="G301" s="26">
        <f>'FORM B'!H319</f>
        <v>3736921.3799999952</v>
      </c>
      <c r="H301" s="26"/>
      <c r="I301" s="17"/>
      <c r="K301" s="69"/>
      <c r="L301" s="7"/>
    </row>
    <row r="302" spans="1:12" x14ac:dyDescent="0.25">
      <c r="A302" s="51">
        <v>304</v>
      </c>
      <c r="B302" s="132" t="s">
        <v>295</v>
      </c>
      <c r="C302" s="804">
        <v>2024</v>
      </c>
      <c r="D302" s="585">
        <v>83313.500000000015</v>
      </c>
      <c r="E302" s="585">
        <v>83313.500000000015</v>
      </c>
      <c r="F302" s="370"/>
      <c r="G302" s="26">
        <f>'FORM B'!H320</f>
        <v>3354221.12</v>
      </c>
      <c r="H302" s="26"/>
      <c r="I302" s="17"/>
      <c r="K302" s="69"/>
      <c r="L302" s="7"/>
    </row>
    <row r="303" spans="1:12" x14ac:dyDescent="0.25">
      <c r="A303" s="51">
        <v>305</v>
      </c>
      <c r="B303" s="132" t="s">
        <v>296</v>
      </c>
      <c r="C303" s="804">
        <v>2024</v>
      </c>
      <c r="D303" s="585">
        <v>79249.200000000012</v>
      </c>
      <c r="E303" s="585">
        <v>78098.399999999994</v>
      </c>
      <c r="F303" s="370"/>
      <c r="G303" s="26">
        <f>'FORM B'!H321</f>
        <v>3572195.97</v>
      </c>
      <c r="H303" s="26"/>
      <c r="I303" s="17"/>
      <c r="K303" s="69"/>
      <c r="L303" s="7"/>
    </row>
    <row r="304" spans="1:12" x14ac:dyDescent="0.25">
      <c r="A304" s="51">
        <v>306</v>
      </c>
      <c r="B304" s="132" t="s">
        <v>297</v>
      </c>
      <c r="C304" s="804">
        <v>2024</v>
      </c>
      <c r="D304" s="585">
        <v>78632</v>
      </c>
      <c r="E304" s="585">
        <v>71063.8</v>
      </c>
      <c r="F304" s="370"/>
      <c r="G304" s="26">
        <f>'FORM B'!H322</f>
        <v>2208286.9900000002</v>
      </c>
      <c r="H304" s="26"/>
      <c r="I304" s="17"/>
      <c r="K304" s="69"/>
      <c r="L304" s="7"/>
    </row>
    <row r="305" spans="1:12" x14ac:dyDescent="0.25">
      <c r="A305" s="51">
        <v>307</v>
      </c>
      <c r="B305" s="132" t="s">
        <v>298</v>
      </c>
      <c r="C305" s="804">
        <v>2024</v>
      </c>
      <c r="D305" s="585">
        <v>78457.100000000006</v>
      </c>
      <c r="E305" s="585">
        <v>77395.900000000023</v>
      </c>
      <c r="F305" s="370"/>
      <c r="G305" s="26">
        <f>'FORM B'!H323</f>
        <v>3651948.92</v>
      </c>
      <c r="H305" s="26"/>
      <c r="I305" s="17"/>
      <c r="K305" s="69"/>
      <c r="L305" s="7"/>
    </row>
    <row r="306" spans="1:12" x14ac:dyDescent="0.25">
      <c r="A306" s="51">
        <v>308</v>
      </c>
      <c r="B306" s="132" t="s">
        <v>299</v>
      </c>
      <c r="C306" s="804">
        <v>2024</v>
      </c>
      <c r="D306" s="585">
        <v>81011.399999999994</v>
      </c>
      <c r="E306" s="585">
        <v>81011.399999999994</v>
      </c>
      <c r="F306" s="370"/>
      <c r="G306" s="26">
        <f>'FORM B'!H324</f>
        <v>3586584.28</v>
      </c>
      <c r="H306" s="26"/>
      <c r="I306" s="17"/>
      <c r="K306" s="69"/>
      <c r="L306" s="7"/>
    </row>
    <row r="307" spans="1:12" x14ac:dyDescent="0.25">
      <c r="A307" s="51">
        <v>309</v>
      </c>
      <c r="B307" s="132" t="s">
        <v>300</v>
      </c>
      <c r="C307" s="804">
        <v>2024</v>
      </c>
      <c r="D307" s="585">
        <v>77672.100000000006</v>
      </c>
      <c r="E307" s="585">
        <v>77375.5</v>
      </c>
      <c r="F307" s="370"/>
      <c r="G307" s="26">
        <f>'FORM B'!H325</f>
        <v>3510873.66</v>
      </c>
      <c r="H307" s="26"/>
      <c r="I307" s="17"/>
      <c r="K307" s="69"/>
      <c r="L307" s="7"/>
    </row>
    <row r="308" spans="1:12" x14ac:dyDescent="0.25">
      <c r="A308" s="51">
        <v>310</v>
      </c>
      <c r="B308" s="132" t="s">
        <v>289</v>
      </c>
      <c r="C308" s="804">
        <v>2024</v>
      </c>
      <c r="D308" s="585">
        <v>85458</v>
      </c>
      <c r="E308" s="585">
        <v>85458</v>
      </c>
      <c r="F308" s="370"/>
      <c r="G308" s="26">
        <f>'FORM B'!H326</f>
        <v>3267263.26</v>
      </c>
      <c r="H308" s="26"/>
      <c r="I308" s="17"/>
      <c r="K308" s="69"/>
      <c r="L308" s="7"/>
    </row>
    <row r="309" spans="1:12" x14ac:dyDescent="0.25">
      <c r="A309" s="51">
        <v>311</v>
      </c>
      <c r="B309" s="132" t="s">
        <v>290</v>
      </c>
      <c r="C309" s="804">
        <v>2024</v>
      </c>
      <c r="D309" s="585">
        <v>82921.000000000015</v>
      </c>
      <c r="E309" s="585">
        <v>72361.400000000009</v>
      </c>
      <c r="F309" s="370"/>
      <c r="G309" s="26">
        <f>'FORM B'!H327</f>
        <v>3303934.14</v>
      </c>
      <c r="H309" s="26"/>
      <c r="I309" s="17"/>
      <c r="K309" s="69"/>
      <c r="L309" s="7"/>
    </row>
    <row r="310" spans="1:12" x14ac:dyDescent="0.25">
      <c r="A310" s="51">
        <v>312</v>
      </c>
      <c r="B310" s="132" t="s">
        <v>291</v>
      </c>
      <c r="C310" s="804">
        <v>2024</v>
      </c>
      <c r="D310" s="585">
        <v>78064.600000000006</v>
      </c>
      <c r="E310" s="585">
        <v>68940.399999999994</v>
      </c>
      <c r="F310" s="370"/>
      <c r="G310" s="26">
        <f>'FORM B'!H328</f>
        <v>3320808.36</v>
      </c>
      <c r="H310" s="26"/>
      <c r="I310" s="17"/>
      <c r="K310" s="69"/>
      <c r="L310" s="7"/>
    </row>
    <row r="311" spans="1:12" x14ac:dyDescent="0.25">
      <c r="A311" s="51">
        <v>313</v>
      </c>
      <c r="B311" s="132" t="s">
        <v>292</v>
      </c>
      <c r="C311" s="804">
        <v>2024</v>
      </c>
      <c r="D311" s="585">
        <v>85458</v>
      </c>
      <c r="E311" s="585">
        <v>84630.799999999988</v>
      </c>
      <c r="F311" s="370"/>
      <c r="G311" s="26">
        <f>'FORM B'!H329</f>
        <v>3171623.4</v>
      </c>
      <c r="H311" s="26"/>
      <c r="I311" s="17"/>
      <c r="K311" s="69"/>
      <c r="L311" s="7"/>
    </row>
    <row r="312" spans="1:12" x14ac:dyDescent="0.25">
      <c r="A312" s="51">
        <v>314</v>
      </c>
      <c r="B312" s="132" t="s">
        <v>293</v>
      </c>
      <c r="C312" s="804">
        <v>2024</v>
      </c>
      <c r="D312" s="585">
        <v>81803.5</v>
      </c>
      <c r="E312" s="585">
        <v>81803.5</v>
      </c>
      <c r="F312" s="370"/>
      <c r="G312" s="26">
        <f>'FORM B'!H330</f>
        <v>3198072.3700000048</v>
      </c>
      <c r="H312" s="26"/>
      <c r="I312" s="17"/>
      <c r="K312" s="69"/>
      <c r="L312" s="7"/>
    </row>
    <row r="313" spans="1:12" x14ac:dyDescent="0.25">
      <c r="A313" s="51">
        <v>315</v>
      </c>
      <c r="B313" s="132" t="s">
        <v>294</v>
      </c>
      <c r="C313" s="804">
        <v>2024</v>
      </c>
      <c r="D313" s="585">
        <v>75920.099999999977</v>
      </c>
      <c r="E313" s="585">
        <v>74996.899999999994</v>
      </c>
      <c r="F313" s="370"/>
      <c r="G313" s="26">
        <f>'FORM B'!H331</f>
        <v>3255015.44</v>
      </c>
      <c r="H313" s="26"/>
      <c r="I313" s="17"/>
      <c r="K313" s="69"/>
      <c r="L313" s="7"/>
    </row>
    <row r="314" spans="1:12" x14ac:dyDescent="0.25">
      <c r="A314" s="51">
        <v>316</v>
      </c>
      <c r="B314" s="132" t="s">
        <v>295</v>
      </c>
      <c r="C314" s="804">
        <v>2025</v>
      </c>
      <c r="D314" s="585">
        <v>83155.900000000009</v>
      </c>
      <c r="E314" s="585">
        <v>80095.700000000012</v>
      </c>
      <c r="F314" s="370"/>
      <c r="G314" s="26">
        <f>'FORM B'!H332</f>
        <v>3376134.09</v>
      </c>
      <c r="H314" s="26"/>
      <c r="I314" s="17"/>
      <c r="K314" s="69"/>
      <c r="L314" s="7"/>
    </row>
    <row r="315" spans="1:12" x14ac:dyDescent="0.25">
      <c r="A315" s="51">
        <v>317</v>
      </c>
      <c r="B315" s="132" t="s">
        <v>296</v>
      </c>
      <c r="C315" s="804">
        <v>2025</v>
      </c>
      <c r="D315" s="585">
        <v>76144.799999999988</v>
      </c>
      <c r="E315" s="585">
        <v>74409.200000000012</v>
      </c>
      <c r="F315" s="370"/>
      <c r="G315" s="26">
        <f>'FORM B'!H333</f>
        <v>3290736.09</v>
      </c>
      <c r="H315" s="26"/>
      <c r="I315" s="17"/>
      <c r="K315" s="69"/>
      <c r="L315" s="7"/>
    </row>
    <row r="316" spans="1:12" x14ac:dyDescent="0.25">
      <c r="A316" s="51">
        <v>318</v>
      </c>
      <c r="B316" s="132" t="s">
        <v>297</v>
      </c>
      <c r="C316" s="804">
        <v>2025</v>
      </c>
      <c r="D316" s="585">
        <v>80934.100000000006</v>
      </c>
      <c r="E316" s="585">
        <v>78858.500000000029</v>
      </c>
      <c r="F316" s="370"/>
      <c r="G316" s="26">
        <f>'FORM B'!H334</f>
        <v>3428452.84</v>
      </c>
      <c r="H316" s="26"/>
      <c r="I316" s="17"/>
      <c r="K316" s="69"/>
      <c r="L316" s="7"/>
    </row>
    <row r="317" spans="1:12" x14ac:dyDescent="0.25">
      <c r="A317" s="51">
        <v>319</v>
      </c>
      <c r="B317" s="132" t="s">
        <v>298</v>
      </c>
      <c r="C317" s="804">
        <v>2025</v>
      </c>
      <c r="D317" s="585">
        <v>76077.699999999983</v>
      </c>
      <c r="E317" s="585">
        <v>71125.400000000009</v>
      </c>
      <c r="F317" s="370"/>
      <c r="G317" s="26">
        <f>'FORM B'!H335</f>
        <v>191289.42999988561</v>
      </c>
      <c r="H317" s="26"/>
      <c r="I317" s="17"/>
      <c r="K317" s="69"/>
      <c r="L317" s="7"/>
    </row>
    <row r="318" spans="1:12" x14ac:dyDescent="0.25">
      <c r="A318" s="51">
        <v>320</v>
      </c>
      <c r="B318" s="132" t="s">
        <v>299</v>
      </c>
      <c r="C318" s="804">
        <v>2025</v>
      </c>
      <c r="D318" s="585">
        <f>'FORM F1 SUB - STD BUS'!$M$58</f>
        <v>82763.400000000009</v>
      </c>
      <c r="E318" s="585">
        <f>'FORM F1 SUB - STD BUS'!$N$58</f>
        <v>82529.400000000009</v>
      </c>
      <c r="F318" s="370"/>
      <c r="G318" s="26">
        <f>'FORM B'!H336</f>
        <v>3308834.9599999189</v>
      </c>
      <c r="H318" s="26"/>
      <c r="I318" s="17"/>
      <c r="K318" s="69"/>
      <c r="L318" s="7"/>
    </row>
    <row r="319" spans="1:12" x14ac:dyDescent="0.25">
      <c r="A319" s="30"/>
      <c r="B319" s="4"/>
      <c r="C319" s="15"/>
      <c r="D319" s="371"/>
      <c r="E319" s="371"/>
      <c r="F319" s="36"/>
      <c r="G319" s="26"/>
      <c r="H319" s="26"/>
      <c r="I319" s="5"/>
      <c r="L319" s="791"/>
    </row>
    <row r="320" spans="1:12" x14ac:dyDescent="0.25">
      <c r="A320" s="27"/>
      <c r="B320" s="27"/>
      <c r="C320" s="61"/>
      <c r="D320" s="61"/>
      <c r="E320" s="25"/>
      <c r="F320" s="27"/>
      <c r="G320" s="64"/>
      <c r="H320" s="64"/>
      <c r="I320" s="3"/>
    </row>
    <row r="321" spans="1:9" x14ac:dyDescent="0.25">
      <c r="A321" s="34"/>
      <c r="B321" s="34" t="s">
        <v>69</v>
      </c>
      <c r="C321" s="62"/>
      <c r="D321" s="98">
        <f>SUM(D20:D319)</f>
        <v>20482718.020312503</v>
      </c>
      <c r="E321" s="98">
        <f>SUM(E20:E319)</f>
        <v>19999101.947753891</v>
      </c>
      <c r="F321" s="62">
        <f>SUM(F20:F320)</f>
        <v>0</v>
      </c>
      <c r="G321" s="62">
        <f>SUM(G20:G320)</f>
        <v>602301587.31999993</v>
      </c>
      <c r="H321" s="62">
        <f>SUM(H20:H320)</f>
        <v>0</v>
      </c>
      <c r="I321" s="33"/>
    </row>
    <row r="322" spans="1:9" x14ac:dyDescent="0.25">
      <c r="A322" s="35"/>
      <c r="B322" s="35"/>
      <c r="C322" s="1"/>
      <c r="D322" s="1"/>
      <c r="E322" s="1"/>
      <c r="F322" s="35"/>
      <c r="G322" s="65"/>
      <c r="H322" s="63"/>
      <c r="I322" s="16"/>
    </row>
    <row r="323" spans="1:9" x14ac:dyDescent="0.25">
      <c r="A323" s="37"/>
      <c r="B323" s="37"/>
      <c r="C323" s="38"/>
      <c r="D323" s="38"/>
      <c r="E323" s="38"/>
      <c r="F323" s="34" t="s">
        <v>83</v>
      </c>
      <c r="G323" s="66"/>
      <c r="H323" s="32">
        <f>SUM(H20:H319)</f>
        <v>0</v>
      </c>
      <c r="I323" s="373"/>
    </row>
    <row r="324" spans="1:9" x14ac:dyDescent="0.25"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B325" s="1" t="s">
        <v>70</v>
      </c>
      <c r="C325" s="1" t="s">
        <v>71</v>
      </c>
      <c r="D325" s="1"/>
      <c r="E325" s="1"/>
      <c r="F325" s="1"/>
      <c r="G325" s="1"/>
      <c r="H325" s="1"/>
      <c r="I325" s="1"/>
    </row>
    <row r="326" spans="1:9" x14ac:dyDescent="0.25"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B330" s="14"/>
      <c r="C330" s="14"/>
      <c r="D330" s="14"/>
      <c r="E330" s="14"/>
      <c r="F330" s="14"/>
      <c r="G330" s="14"/>
      <c r="H330" s="14"/>
      <c r="I330" s="14"/>
    </row>
  </sheetData>
  <mergeCells count="3">
    <mergeCell ref="F14:H14"/>
    <mergeCell ref="D14:E14"/>
    <mergeCell ref="A1:I1"/>
  </mergeCells>
  <phoneticPr fontId="5" type="noConversion"/>
  <pageMargins left="0.75" right="0.75" top="0.77" bottom="0.28000000000000003" header="0.17" footer="0.17"/>
  <pageSetup paperSize="9" scale="78" orientation="portrait" horizontalDpi="4294967292" verticalDpi="4294967292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635"/>
  <sheetViews>
    <sheetView view="pageBreakPreview" topLeftCell="N11" zoomScaleNormal="125" zoomScaleSheetLayoutView="100" workbookViewId="0">
      <selection activeCell="X22" sqref="X22"/>
    </sheetView>
  </sheetViews>
  <sheetFormatPr defaultColWidth="9.1796875" defaultRowHeight="12.5" x14ac:dyDescent="0.25"/>
  <cols>
    <col min="1" max="1" width="26.54296875" customWidth="1"/>
    <col min="2" max="2" width="10.453125" customWidth="1"/>
    <col min="3" max="3" width="4.1796875" customWidth="1"/>
    <col min="4" max="4" width="25.7265625" customWidth="1"/>
    <col min="5" max="5" width="24" customWidth="1"/>
    <col min="6" max="6" width="8.7265625" customWidth="1"/>
    <col min="7" max="7" width="7.7265625" customWidth="1"/>
    <col min="8" max="8" width="7.26953125" customWidth="1"/>
    <col min="9" max="9" width="8.1796875" customWidth="1"/>
    <col min="10" max="10" width="9.453125" customWidth="1"/>
    <col min="11" max="11" width="8.1796875" customWidth="1"/>
    <col min="12" max="12" width="7" customWidth="1"/>
    <col min="13" max="13" width="10.453125" customWidth="1"/>
    <col min="14" max="14" width="12" customWidth="1"/>
    <col min="15" max="15" width="11.1796875" customWidth="1"/>
    <col min="16" max="16" width="11.453125" customWidth="1"/>
    <col min="17" max="17" width="8.453125" customWidth="1"/>
    <col min="18" max="18" width="7.1796875" customWidth="1"/>
    <col min="19" max="19" width="14.81640625" customWidth="1"/>
    <col min="20" max="20" width="16" style="14" customWidth="1"/>
    <col min="21" max="21" width="15.81640625" customWidth="1"/>
    <col min="22" max="22" width="11.26953125" customWidth="1"/>
    <col min="23" max="23" width="9.453125" customWidth="1"/>
    <col min="24" max="24" width="9.7265625" customWidth="1"/>
    <col min="25" max="25" width="6.1796875" customWidth="1"/>
    <col min="26" max="26" width="9.1796875" customWidth="1"/>
    <col min="27" max="259" width="11.453125" customWidth="1"/>
  </cols>
  <sheetData>
    <row r="1" spans="2:26" ht="13" x14ac:dyDescent="0.3">
      <c r="B1" s="871" t="s">
        <v>253</v>
      </c>
      <c r="C1" s="871"/>
      <c r="D1" s="871"/>
      <c r="E1" s="871"/>
      <c r="F1" s="871"/>
      <c r="G1" s="871"/>
      <c r="H1" s="871"/>
      <c r="I1" s="871"/>
      <c r="J1" s="871"/>
      <c r="K1" s="871"/>
      <c r="L1" s="871"/>
      <c r="M1" s="871"/>
      <c r="N1" s="871"/>
      <c r="O1" s="871"/>
      <c r="P1" s="871"/>
      <c r="Q1" s="871"/>
      <c r="R1" s="871"/>
      <c r="S1" s="871"/>
      <c r="T1" s="871"/>
      <c r="U1" s="871"/>
      <c r="V1" s="871"/>
      <c r="W1" s="871"/>
      <c r="X1" s="871"/>
      <c r="Y1" s="871"/>
      <c r="Z1" s="871"/>
    </row>
    <row r="3" spans="2:26" ht="13" x14ac:dyDescent="0.3">
      <c r="B3" s="50" t="s">
        <v>0</v>
      </c>
      <c r="C3" s="50"/>
      <c r="D3" s="50"/>
      <c r="E3" s="8" t="str">
        <f>'FORM A'!C3</f>
        <v>PROVISION OF PUBLIC PASSENGER TRANSPORT MKUZE AND SURROUNDING</v>
      </c>
      <c r="G3" s="50"/>
      <c r="H3" s="50"/>
      <c r="I3" s="50"/>
      <c r="J3" s="50"/>
      <c r="K3" s="50"/>
      <c r="L3" s="50"/>
      <c r="M3" s="50"/>
      <c r="N3" s="6"/>
      <c r="O3" s="6"/>
      <c r="P3" s="6"/>
      <c r="Q3" s="6"/>
      <c r="R3" s="6"/>
      <c r="S3" s="6"/>
      <c r="T3" s="1"/>
      <c r="U3" s="6"/>
      <c r="V3" s="6"/>
      <c r="W3" s="6"/>
      <c r="X3" s="6"/>
      <c r="Y3" s="50"/>
      <c r="Z3" s="6"/>
    </row>
    <row r="4" spans="2:26" ht="13" x14ac:dyDescent="0.3">
      <c r="B4" s="52"/>
      <c r="C4" s="52"/>
      <c r="D4" s="50"/>
      <c r="E4" s="101"/>
      <c r="F4" s="6"/>
      <c r="G4" s="6"/>
      <c r="H4" s="6"/>
      <c r="I4" s="6"/>
      <c r="J4" s="6"/>
      <c r="L4" s="6"/>
      <c r="M4" s="6"/>
      <c r="N4" s="6"/>
      <c r="O4" s="6"/>
      <c r="P4" s="6"/>
      <c r="Q4" s="6"/>
      <c r="R4" s="6"/>
      <c r="S4" s="6"/>
      <c r="T4" s="1"/>
      <c r="U4" s="6"/>
      <c r="V4" s="6"/>
      <c r="W4" s="6"/>
      <c r="X4" s="6"/>
      <c r="Y4" s="6"/>
      <c r="Z4" s="6"/>
    </row>
    <row r="5" spans="2:26" ht="13" x14ac:dyDescent="0.3">
      <c r="B5" s="50" t="str">
        <f>'FORM B'!A5</f>
        <v>CONTRACT : ZNT 1129</v>
      </c>
      <c r="C5" s="50"/>
      <c r="D5" s="50"/>
      <c r="E5" s="101"/>
      <c r="F5" s="6"/>
      <c r="G5" s="6"/>
      <c r="H5" s="6"/>
      <c r="I5" s="6"/>
      <c r="J5" s="6"/>
      <c r="K5" s="8"/>
      <c r="L5" s="6"/>
      <c r="M5" s="50" t="s">
        <v>2</v>
      </c>
      <c r="N5" s="8"/>
      <c r="O5" s="6" t="str">
        <f>'FORM A'!F6</f>
        <v>Ripple Effect 40 (Pty) Ltd</v>
      </c>
      <c r="P5" s="6"/>
      <c r="Q5" s="6"/>
      <c r="R5" s="6"/>
      <c r="S5" s="6"/>
      <c r="T5" s="1"/>
      <c r="U5" s="6"/>
      <c r="V5" s="6"/>
      <c r="W5" s="6"/>
      <c r="X5" s="6"/>
      <c r="Y5" s="6"/>
      <c r="Z5" s="6"/>
    </row>
    <row r="6" spans="2:26" ht="13" x14ac:dyDescent="0.3">
      <c r="B6" s="50"/>
      <c r="C6" s="50"/>
      <c r="D6" s="50"/>
      <c r="E6" s="101"/>
      <c r="F6" s="6"/>
      <c r="G6" s="6"/>
      <c r="H6" s="6"/>
      <c r="I6" s="6"/>
      <c r="J6" s="6"/>
      <c r="K6" s="6"/>
      <c r="L6" s="6"/>
      <c r="M6" s="50"/>
      <c r="N6" s="6"/>
      <c r="O6" s="6"/>
      <c r="P6" s="6"/>
      <c r="Q6" s="6"/>
      <c r="R6" s="6"/>
      <c r="S6" s="6"/>
      <c r="T6" s="1"/>
      <c r="U6" s="6"/>
      <c r="V6" s="6"/>
      <c r="W6" s="6"/>
      <c r="X6" s="6"/>
      <c r="Y6" s="6"/>
      <c r="Z6" s="6"/>
    </row>
    <row r="7" spans="2:26" ht="13" x14ac:dyDescent="0.3">
      <c r="B7" s="50" t="s">
        <v>143</v>
      </c>
      <c r="C7" s="50"/>
      <c r="D7" s="50"/>
      <c r="E7" s="300">
        <f>'FORM A'!C8</f>
        <v>320</v>
      </c>
      <c r="F7" s="301"/>
      <c r="G7" s="6"/>
      <c r="H7" s="7"/>
      <c r="I7" s="7"/>
      <c r="J7" s="7"/>
      <c r="K7" s="7"/>
      <c r="L7" s="6"/>
      <c r="M7" s="50" t="s">
        <v>4</v>
      </c>
      <c r="N7" s="99"/>
      <c r="O7" s="369">
        <f>'FORM A'!F8</f>
        <v>45778</v>
      </c>
      <c r="P7" s="6"/>
      <c r="Q7" s="6"/>
      <c r="R7" s="6"/>
      <c r="S7" s="6"/>
      <c r="T7" s="1"/>
      <c r="U7" s="6"/>
      <c r="V7" s="6"/>
      <c r="W7" s="6"/>
      <c r="X7" s="6"/>
      <c r="Y7" s="6"/>
      <c r="Z7" s="6"/>
    </row>
    <row r="8" spans="2:26" x14ac:dyDescent="0.25">
      <c r="E8" s="101"/>
      <c r="O8" s="6"/>
      <c r="P8" s="6"/>
      <c r="Q8" s="6"/>
      <c r="R8" s="6"/>
      <c r="S8" s="6"/>
      <c r="T8" s="1"/>
      <c r="U8" s="6"/>
      <c r="V8" s="6"/>
      <c r="W8" s="6"/>
      <c r="X8" s="6"/>
      <c r="Y8" s="6"/>
      <c r="Z8" s="6"/>
    </row>
    <row r="9" spans="2:26" ht="13" x14ac:dyDescent="0.3">
      <c r="B9" s="50" t="s">
        <v>236</v>
      </c>
      <c r="C9" s="50"/>
      <c r="O9" s="888"/>
      <c r="P9" s="888"/>
      <c r="Q9" s="888"/>
      <c r="R9" s="6"/>
      <c r="S9" s="6"/>
      <c r="T9" s="1"/>
      <c r="U9" s="6"/>
      <c r="V9" s="6"/>
      <c r="W9" s="6"/>
      <c r="X9" s="6"/>
      <c r="Y9" s="6"/>
      <c r="Z9" s="6"/>
    </row>
    <row r="10" spans="2:26" ht="13" thickBot="1" x14ac:dyDescent="0.3"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1"/>
      <c r="U10" s="6"/>
      <c r="V10" s="6"/>
      <c r="W10" s="6"/>
      <c r="X10" s="6"/>
      <c r="Y10" s="6"/>
      <c r="Z10" s="6"/>
    </row>
    <row r="11" spans="2:26" ht="13" thickBot="1" x14ac:dyDescent="0.3">
      <c r="B11" s="302"/>
      <c r="C11" s="303"/>
      <c r="D11" s="303"/>
      <c r="E11" s="303"/>
      <c r="F11" s="302"/>
      <c r="G11" s="303"/>
      <c r="H11" s="303"/>
      <c r="I11" s="303"/>
      <c r="J11" s="303"/>
      <c r="K11" s="304"/>
      <c r="L11" s="305"/>
      <c r="M11" s="303"/>
      <c r="N11" s="304"/>
      <c r="O11" s="302"/>
      <c r="P11" s="303"/>
      <c r="Q11" s="303"/>
      <c r="R11" s="303"/>
      <c r="S11" s="302"/>
      <c r="T11" s="433"/>
      <c r="U11" s="303"/>
      <c r="V11" s="303"/>
      <c r="W11" s="303"/>
      <c r="X11" s="304"/>
      <c r="Y11" s="469"/>
      <c r="Z11" s="306"/>
    </row>
    <row r="12" spans="2:26" ht="13" thickBot="1" x14ac:dyDescent="0.3">
      <c r="B12" s="497"/>
      <c r="C12" s="498"/>
      <c r="D12" s="483" t="s">
        <v>43</v>
      </c>
      <c r="E12" s="483"/>
      <c r="F12" s="889" t="s">
        <v>44</v>
      </c>
      <c r="G12" s="890"/>
      <c r="H12" s="890"/>
      <c r="I12" s="890"/>
      <c r="J12" s="890"/>
      <c r="K12" s="891"/>
      <c r="L12" s="307" t="s">
        <v>45</v>
      </c>
      <c r="M12" s="483" t="s">
        <v>46</v>
      </c>
      <c r="N12" s="484"/>
      <c r="O12" s="892" t="s">
        <v>47</v>
      </c>
      <c r="P12" s="893"/>
      <c r="Q12" s="893"/>
      <c r="R12" s="893"/>
      <c r="S12" s="511" t="s">
        <v>230</v>
      </c>
      <c r="T12" s="512"/>
      <c r="U12" s="513"/>
      <c r="V12" s="513"/>
      <c r="W12" s="513"/>
      <c r="X12" s="513"/>
      <c r="Y12" s="490" t="s">
        <v>48</v>
      </c>
      <c r="Z12" s="491"/>
    </row>
    <row r="13" spans="2:26" x14ac:dyDescent="0.25">
      <c r="B13" s="499"/>
      <c r="C13" s="500"/>
      <c r="D13" s="501"/>
      <c r="E13" s="502"/>
      <c r="F13" s="479"/>
      <c r="G13" s="479"/>
      <c r="H13" s="479"/>
      <c r="I13" s="479"/>
      <c r="J13" s="480"/>
      <c r="K13" s="480"/>
      <c r="L13" s="504" t="s">
        <v>49</v>
      </c>
      <c r="M13" s="478"/>
      <c r="N13" s="506"/>
      <c r="O13" s="508"/>
      <c r="P13" s="509"/>
      <c r="Q13" s="509"/>
      <c r="R13" s="510" t="s">
        <v>50</v>
      </c>
      <c r="S13" s="508"/>
      <c r="T13" s="514"/>
      <c r="U13" s="509"/>
      <c r="V13" s="515" t="s">
        <v>50</v>
      </c>
      <c r="W13" s="515" t="s">
        <v>50</v>
      </c>
      <c r="X13" s="510" t="s">
        <v>50</v>
      </c>
      <c r="Y13" s="310"/>
      <c r="Z13" s="311"/>
    </row>
    <row r="14" spans="2:26" x14ac:dyDescent="0.25">
      <c r="B14" s="308" t="s">
        <v>51</v>
      </c>
      <c r="C14" s="58" t="s">
        <v>262</v>
      </c>
      <c r="D14" s="312" t="s">
        <v>52</v>
      </c>
      <c r="E14" s="313" t="s">
        <v>53</v>
      </c>
      <c r="F14" s="314" t="s">
        <v>54</v>
      </c>
      <c r="G14" s="314" t="s">
        <v>55</v>
      </c>
      <c r="H14" s="314" t="s">
        <v>88</v>
      </c>
      <c r="I14" s="473" t="s">
        <v>265</v>
      </c>
      <c r="J14" s="481" t="s">
        <v>267</v>
      </c>
      <c r="K14" s="465" t="s">
        <v>56</v>
      </c>
      <c r="L14" s="504"/>
      <c r="M14" s="467" t="s">
        <v>54</v>
      </c>
      <c r="N14" s="315" t="s">
        <v>56</v>
      </c>
      <c r="O14" s="316" t="s">
        <v>57</v>
      </c>
      <c r="P14" s="317" t="s">
        <v>58</v>
      </c>
      <c r="Q14" s="317" t="s">
        <v>26</v>
      </c>
      <c r="R14" s="309" t="s">
        <v>231</v>
      </c>
      <c r="S14" s="316" t="s">
        <v>57</v>
      </c>
      <c r="T14" s="434" t="s">
        <v>58</v>
      </c>
      <c r="U14" s="317" t="s">
        <v>26</v>
      </c>
      <c r="V14" s="317" t="s">
        <v>232</v>
      </c>
      <c r="W14" s="317" t="s">
        <v>233</v>
      </c>
      <c r="X14" s="309" t="s">
        <v>234</v>
      </c>
      <c r="Y14" s="316" t="s">
        <v>59</v>
      </c>
      <c r="Z14" s="366" t="s">
        <v>60</v>
      </c>
    </row>
    <row r="15" spans="2:26" x14ac:dyDescent="0.25">
      <c r="B15" s="318"/>
      <c r="C15" s="464"/>
      <c r="D15" s="319"/>
      <c r="E15" s="320"/>
      <c r="F15" s="321" t="s">
        <v>61</v>
      </c>
      <c r="G15" s="322"/>
      <c r="H15" s="321" t="s">
        <v>89</v>
      </c>
      <c r="I15" s="474" t="s">
        <v>266</v>
      </c>
      <c r="J15" s="482" t="s">
        <v>268</v>
      </c>
      <c r="K15" s="466"/>
      <c r="L15" s="505"/>
      <c r="M15" s="492" t="s">
        <v>272</v>
      </c>
      <c r="N15" s="507" t="s">
        <v>273</v>
      </c>
      <c r="O15" s="323"/>
      <c r="P15" s="324"/>
      <c r="Q15" s="324" t="s">
        <v>269</v>
      </c>
      <c r="R15" s="325" t="s">
        <v>274</v>
      </c>
      <c r="S15" s="323"/>
      <c r="T15" s="435"/>
      <c r="U15" s="324" t="s">
        <v>270</v>
      </c>
      <c r="V15" s="326" t="s">
        <v>271</v>
      </c>
      <c r="W15" s="326" t="s">
        <v>275</v>
      </c>
      <c r="X15" s="325" t="s">
        <v>276</v>
      </c>
      <c r="Y15" s="323"/>
      <c r="Z15" s="327" t="s">
        <v>277</v>
      </c>
    </row>
    <row r="16" spans="2:26" ht="13" thickBot="1" x14ac:dyDescent="0.3">
      <c r="B16" s="503" t="s">
        <v>20</v>
      </c>
      <c r="C16" s="494">
        <f t="shared" ref="C16:I16" si="0">B16+1</f>
        <v>2</v>
      </c>
      <c r="D16" s="494">
        <f t="shared" si="0"/>
        <v>3</v>
      </c>
      <c r="E16" s="495">
        <f t="shared" si="0"/>
        <v>4</v>
      </c>
      <c r="F16" s="516">
        <f t="shared" si="0"/>
        <v>5</v>
      </c>
      <c r="G16" s="517">
        <f t="shared" si="0"/>
        <v>6</v>
      </c>
      <c r="H16" s="517">
        <f t="shared" si="0"/>
        <v>7</v>
      </c>
      <c r="I16" s="517">
        <f t="shared" si="0"/>
        <v>8</v>
      </c>
      <c r="J16" s="518">
        <f t="shared" ref="J16:Z16" si="1">I16+1</f>
        <v>9</v>
      </c>
      <c r="K16" s="470">
        <f t="shared" si="1"/>
        <v>10</v>
      </c>
      <c r="L16" s="468">
        <f t="shared" si="1"/>
        <v>11</v>
      </c>
      <c r="M16" s="493">
        <f t="shared" si="1"/>
        <v>12</v>
      </c>
      <c r="N16" s="496">
        <f t="shared" si="1"/>
        <v>13</v>
      </c>
      <c r="O16" s="493">
        <f t="shared" si="1"/>
        <v>14</v>
      </c>
      <c r="P16" s="494">
        <f t="shared" si="1"/>
        <v>15</v>
      </c>
      <c r="Q16" s="494">
        <f t="shared" si="1"/>
        <v>16</v>
      </c>
      <c r="R16" s="495">
        <f t="shared" si="1"/>
        <v>17</v>
      </c>
      <c r="S16" s="493">
        <f t="shared" si="1"/>
        <v>18</v>
      </c>
      <c r="T16" s="494">
        <f t="shared" si="1"/>
        <v>19</v>
      </c>
      <c r="U16" s="494">
        <f t="shared" si="1"/>
        <v>20</v>
      </c>
      <c r="V16" s="494">
        <f t="shared" si="1"/>
        <v>21</v>
      </c>
      <c r="W16" s="494">
        <f t="shared" si="1"/>
        <v>22</v>
      </c>
      <c r="X16" s="495">
        <f t="shared" si="1"/>
        <v>23</v>
      </c>
      <c r="Y16" s="493">
        <f t="shared" si="1"/>
        <v>24</v>
      </c>
      <c r="Z16" s="495">
        <f t="shared" si="1"/>
        <v>25</v>
      </c>
    </row>
    <row r="17" spans="1:29" x14ac:dyDescent="0.25">
      <c r="A17" t="str">
        <f>CONCATENATE(B17,C17)</f>
        <v>10F</v>
      </c>
      <c r="B17" s="721">
        <v>10</v>
      </c>
      <c r="C17" s="557" t="s">
        <v>264</v>
      </c>
      <c r="D17" s="557" t="s">
        <v>352</v>
      </c>
      <c r="E17" s="748" t="s">
        <v>353</v>
      </c>
      <c r="F17" s="558">
        <f>VLOOKUP(A17,'FORM I1 SUB STD NORMAL'!$A$16:$O$55,15,FALSE)</f>
        <v>26</v>
      </c>
      <c r="G17" s="559"/>
      <c r="H17" s="559"/>
      <c r="I17" s="559"/>
      <c r="J17" s="750"/>
      <c r="K17" s="752">
        <f>F17-G17-H17-I17-J17-Y17</f>
        <v>26</v>
      </c>
      <c r="L17" s="560">
        <v>101.5</v>
      </c>
      <c r="M17" s="98">
        <f>F17*L17</f>
        <v>2639</v>
      </c>
      <c r="N17" s="462">
        <f>K17*L17</f>
        <v>2639</v>
      </c>
      <c r="O17" s="808">
        <v>1550</v>
      </c>
      <c r="P17" s="794"/>
      <c r="Q17" s="463">
        <f>O17+P17</f>
        <v>1550</v>
      </c>
      <c r="R17" s="462">
        <f>Q17/K17</f>
        <v>59.615384615384613</v>
      </c>
      <c r="S17" s="809">
        <v>60120</v>
      </c>
      <c r="T17" s="795"/>
      <c r="U17" s="19">
        <f>SUM(S17:T17)</f>
        <v>60120</v>
      </c>
      <c r="V17" s="19">
        <f>U17/K17</f>
        <v>2312.3076923076924</v>
      </c>
      <c r="W17" s="19">
        <f>U17/N17</f>
        <v>22.781356574460023</v>
      </c>
      <c r="X17" s="32">
        <f>IF(Q17&gt;0,U17/Q17,0)</f>
        <v>38.78709677419355</v>
      </c>
      <c r="Y17" s="461"/>
      <c r="Z17" s="328">
        <f t="shared" ref="Z17" si="2">SUM(Y17*L17)</f>
        <v>0</v>
      </c>
      <c r="AA17" t="str">
        <f>A17</f>
        <v>10F</v>
      </c>
      <c r="AB17" s="101">
        <f>IFERROR(VLOOKUP(A17,[1]Sheet7!$A$4:$B$30,2,FALSE),0)</f>
        <v>0</v>
      </c>
      <c r="AC17" s="101">
        <f>Y17+AB17</f>
        <v>0</v>
      </c>
    </row>
    <row r="18" spans="1:29" x14ac:dyDescent="0.25">
      <c r="A18" t="str">
        <f t="shared" ref="A18:A56" si="3">CONCATENATE(B18,C18)</f>
        <v>10R</v>
      </c>
      <c r="B18" s="733">
        <v>10</v>
      </c>
      <c r="C18" s="734" t="s">
        <v>263</v>
      </c>
      <c r="D18" s="734" t="s">
        <v>353</v>
      </c>
      <c r="E18" s="749" t="s">
        <v>352</v>
      </c>
      <c r="F18" s="329">
        <f>VLOOKUP(A18,'FORM I1 SUB STD NORMAL'!$A$16:$O$55,15,FALSE)</f>
        <v>26</v>
      </c>
      <c r="G18" s="562"/>
      <c r="H18" s="562"/>
      <c r="I18" s="562"/>
      <c r="J18" s="751"/>
      <c r="K18" s="753">
        <f t="shared" ref="K18:K20" si="4">F18-G18-H18-I18-J18-Y18</f>
        <v>26</v>
      </c>
      <c r="L18" s="736">
        <v>101.5</v>
      </c>
      <c r="M18" s="98">
        <f t="shared" ref="M18:M20" si="5">F18*L18</f>
        <v>2639</v>
      </c>
      <c r="N18" s="462">
        <f t="shared" ref="N18:N20" si="6">K18*L18</f>
        <v>2639</v>
      </c>
      <c r="O18" s="808">
        <v>1593</v>
      </c>
      <c r="P18" s="794"/>
      <c r="Q18" s="463">
        <f t="shared" ref="Q18:Q20" si="7">O18+P18</f>
        <v>1593</v>
      </c>
      <c r="R18" s="462">
        <f t="shared" ref="R18:R20" si="8">Q18/K18</f>
        <v>61.269230769230766</v>
      </c>
      <c r="S18" s="809">
        <v>66107</v>
      </c>
      <c r="T18" s="795"/>
      <c r="U18" s="19">
        <f t="shared" ref="U18:U20" si="9">SUM(S18:T18)</f>
        <v>66107</v>
      </c>
      <c r="V18" s="19">
        <f t="shared" ref="V18:V20" si="10">U18/K18</f>
        <v>2542.5769230769229</v>
      </c>
      <c r="W18" s="19">
        <f t="shared" ref="W18:W20" si="11">U18/N18</f>
        <v>25.05001894657067</v>
      </c>
      <c r="X18" s="32">
        <f t="shared" ref="X18:X20" si="12">IF(Q18&gt;0,U18/Q18,0)</f>
        <v>41.498430634023855</v>
      </c>
      <c r="Y18" s="461"/>
      <c r="Z18" s="328">
        <f t="shared" ref="Z18:Z20" si="13">SUM(Y18*L18)</f>
        <v>0</v>
      </c>
      <c r="AA18" t="str">
        <f t="shared" ref="AA18:AA56" si="14">A18</f>
        <v>10R</v>
      </c>
      <c r="AB18" s="101">
        <f>IFERROR(VLOOKUP(A18,[1]Sheet7!$A$4:$B$30,2,FALSE),0)</f>
        <v>1</v>
      </c>
      <c r="AC18" s="101">
        <f t="shared" ref="AC18:AC56" si="15">Y18+AB18</f>
        <v>1</v>
      </c>
    </row>
    <row r="19" spans="1:29" x14ac:dyDescent="0.25">
      <c r="A19" t="str">
        <f t="shared" si="3"/>
        <v>1A.3F</v>
      </c>
      <c r="B19" s="733" t="s">
        <v>354</v>
      </c>
      <c r="C19" s="734" t="s">
        <v>264</v>
      </c>
      <c r="D19" s="734" t="s">
        <v>355</v>
      </c>
      <c r="E19" s="749" t="s">
        <v>356</v>
      </c>
      <c r="F19" s="329">
        <f>VLOOKUP(A19,'FORM I1 SUB STD NORMAL'!$A$16:$O$55,15,FALSE)</f>
        <v>5</v>
      </c>
      <c r="G19" s="562"/>
      <c r="H19" s="562"/>
      <c r="I19" s="562"/>
      <c r="J19" s="751"/>
      <c r="K19" s="753">
        <f t="shared" si="4"/>
        <v>5</v>
      </c>
      <c r="L19" s="736">
        <v>73.8</v>
      </c>
      <c r="M19" s="98">
        <f t="shared" si="5"/>
        <v>369</v>
      </c>
      <c r="N19" s="462">
        <f t="shared" si="6"/>
        <v>369</v>
      </c>
      <c r="O19" s="808">
        <v>519</v>
      </c>
      <c r="P19" s="794"/>
      <c r="Q19" s="463">
        <f t="shared" si="7"/>
        <v>519</v>
      </c>
      <c r="R19" s="462">
        <f t="shared" si="8"/>
        <v>103.8</v>
      </c>
      <c r="S19" s="809">
        <v>11366</v>
      </c>
      <c r="T19" s="795"/>
      <c r="U19" s="19">
        <f t="shared" si="9"/>
        <v>11366</v>
      </c>
      <c r="V19" s="19">
        <f t="shared" si="10"/>
        <v>2273.1999999999998</v>
      </c>
      <c r="W19" s="19">
        <f t="shared" si="11"/>
        <v>30.802168021680217</v>
      </c>
      <c r="X19" s="32">
        <f t="shared" si="12"/>
        <v>21.899807321772641</v>
      </c>
      <c r="Y19" s="461"/>
      <c r="Z19" s="328">
        <f t="shared" si="13"/>
        <v>0</v>
      </c>
      <c r="AA19" t="str">
        <f t="shared" si="14"/>
        <v>1A.3F</v>
      </c>
      <c r="AB19" s="101">
        <f>IFERROR(VLOOKUP(A19,[1]Sheet7!$A$4:$B$30,2,FALSE),0)</f>
        <v>0</v>
      </c>
      <c r="AC19" s="101">
        <f t="shared" si="15"/>
        <v>0</v>
      </c>
    </row>
    <row r="20" spans="1:29" x14ac:dyDescent="0.25">
      <c r="A20" t="str">
        <f t="shared" si="3"/>
        <v>1A.3R</v>
      </c>
      <c r="B20" s="733" t="s">
        <v>354</v>
      </c>
      <c r="C20" s="734" t="s">
        <v>263</v>
      </c>
      <c r="D20" s="734" t="s">
        <v>356</v>
      </c>
      <c r="E20" s="749" t="s">
        <v>355</v>
      </c>
      <c r="F20" s="329">
        <f>VLOOKUP(A20,'FORM I1 SUB STD NORMAL'!$A$16:$O$55,15,FALSE)</f>
        <v>5</v>
      </c>
      <c r="G20" s="562"/>
      <c r="H20" s="562"/>
      <c r="I20" s="562"/>
      <c r="J20" s="751"/>
      <c r="K20" s="753">
        <f t="shared" si="4"/>
        <v>5</v>
      </c>
      <c r="L20" s="736">
        <v>73.8</v>
      </c>
      <c r="M20" s="98">
        <f t="shared" si="5"/>
        <v>369</v>
      </c>
      <c r="N20" s="462">
        <f t="shared" si="6"/>
        <v>369</v>
      </c>
      <c r="O20" s="808">
        <v>346</v>
      </c>
      <c r="P20" s="794"/>
      <c r="Q20" s="463">
        <f t="shared" si="7"/>
        <v>346</v>
      </c>
      <c r="R20" s="462">
        <f t="shared" si="8"/>
        <v>69.2</v>
      </c>
      <c r="S20" s="809">
        <v>6357</v>
      </c>
      <c r="T20" s="795"/>
      <c r="U20" s="19">
        <f t="shared" si="9"/>
        <v>6357</v>
      </c>
      <c r="V20" s="19">
        <f t="shared" si="10"/>
        <v>1271.4000000000001</v>
      </c>
      <c r="W20" s="19">
        <f t="shared" si="11"/>
        <v>17.227642276422763</v>
      </c>
      <c r="X20" s="32">
        <f t="shared" si="12"/>
        <v>18.372832369942195</v>
      </c>
      <c r="Y20" s="461"/>
      <c r="Z20" s="328">
        <f t="shared" si="13"/>
        <v>0</v>
      </c>
      <c r="AA20" t="str">
        <f t="shared" si="14"/>
        <v>1A.3R</v>
      </c>
      <c r="AB20" s="101">
        <f>IFERROR(VLOOKUP(A20,[1]Sheet7!$A$4:$B$30,2,FALSE),0)</f>
        <v>0</v>
      </c>
      <c r="AC20" s="101">
        <f t="shared" si="15"/>
        <v>0</v>
      </c>
    </row>
    <row r="21" spans="1:29" x14ac:dyDescent="0.25">
      <c r="A21" t="str">
        <f t="shared" si="3"/>
        <v>1A1F</v>
      </c>
      <c r="B21" s="733" t="s">
        <v>357</v>
      </c>
      <c r="C21" s="734" t="s">
        <v>264</v>
      </c>
      <c r="D21" s="734" t="s">
        <v>355</v>
      </c>
      <c r="E21" s="749" t="s">
        <v>356</v>
      </c>
      <c r="F21" s="329">
        <f>VLOOKUP(A21,'FORM I1 SUB STD NORMAL'!$A$16:$O$55,15,FALSE)</f>
        <v>26</v>
      </c>
      <c r="G21" s="562"/>
      <c r="H21" s="562"/>
      <c r="I21" s="562"/>
      <c r="J21" s="751"/>
      <c r="K21" s="753">
        <f t="shared" ref="K21:K56" si="16">F21-G21-H21-I21-J21-Y21</f>
        <v>26</v>
      </c>
      <c r="L21" s="736">
        <v>81.8</v>
      </c>
      <c r="M21" s="98">
        <f t="shared" ref="M21:M56" si="17">F21*L21</f>
        <v>2126.7999999999997</v>
      </c>
      <c r="N21" s="462">
        <f t="shared" ref="N21:N56" si="18">K21*L21</f>
        <v>2126.7999999999997</v>
      </c>
      <c r="O21" s="808">
        <v>1858</v>
      </c>
      <c r="P21" s="794"/>
      <c r="Q21" s="463">
        <f t="shared" ref="Q21:Q56" si="19">O21+P21</f>
        <v>1858</v>
      </c>
      <c r="R21" s="462">
        <f t="shared" ref="R21:R56" si="20">Q21/K21</f>
        <v>71.461538461538467</v>
      </c>
      <c r="S21" s="809">
        <v>34423.5</v>
      </c>
      <c r="T21" s="795"/>
      <c r="U21" s="19">
        <f t="shared" ref="U21:U56" si="21">SUM(S21:T21)</f>
        <v>34423.5</v>
      </c>
      <c r="V21" s="19">
        <f t="shared" ref="V21:V56" si="22">U21/K21</f>
        <v>1323.9807692307693</v>
      </c>
      <c r="W21" s="19">
        <f t="shared" ref="W21:W56" si="23">U21/N21</f>
        <v>16.185583975926278</v>
      </c>
      <c r="X21" s="32">
        <f t="shared" ref="X21:X56" si="24">IF(Q21&gt;0,U21/Q21,0)</f>
        <v>18.527179763186222</v>
      </c>
      <c r="Y21" s="461"/>
      <c r="Z21" s="328">
        <f t="shared" ref="Z21:Z56" si="25">SUM(Y21*L21)</f>
        <v>0</v>
      </c>
      <c r="AA21" t="str">
        <f t="shared" si="14"/>
        <v>1A1F</v>
      </c>
      <c r="AB21" s="101">
        <f>IFERROR(VLOOKUP(A21,[1]Sheet7!$A$4:$B$30,2,FALSE),0)</f>
        <v>1</v>
      </c>
      <c r="AC21" s="101">
        <f t="shared" si="15"/>
        <v>1</v>
      </c>
    </row>
    <row r="22" spans="1:29" x14ac:dyDescent="0.25">
      <c r="A22" t="str">
        <f t="shared" si="3"/>
        <v>1A1R</v>
      </c>
      <c r="B22" s="733" t="s">
        <v>357</v>
      </c>
      <c r="C22" s="734" t="s">
        <v>263</v>
      </c>
      <c r="D22" s="734" t="s">
        <v>356</v>
      </c>
      <c r="E22" s="749" t="s">
        <v>355</v>
      </c>
      <c r="F22" s="329">
        <f>VLOOKUP(A22,'FORM I1 SUB STD NORMAL'!$A$16:$O$55,15,FALSE)</f>
        <v>26</v>
      </c>
      <c r="G22" s="562"/>
      <c r="H22" s="562"/>
      <c r="I22" s="562"/>
      <c r="J22" s="751"/>
      <c r="K22" s="753">
        <f t="shared" si="16"/>
        <v>26</v>
      </c>
      <c r="L22" s="736">
        <v>90</v>
      </c>
      <c r="M22" s="98">
        <f t="shared" si="17"/>
        <v>2340</v>
      </c>
      <c r="N22" s="462">
        <f t="shared" si="18"/>
        <v>2340</v>
      </c>
      <c r="O22" s="808">
        <v>1796</v>
      </c>
      <c r="P22" s="794"/>
      <c r="Q22" s="463">
        <f t="shared" si="19"/>
        <v>1796</v>
      </c>
      <c r="R22" s="462">
        <f t="shared" si="20"/>
        <v>69.07692307692308</v>
      </c>
      <c r="S22" s="809">
        <v>33554</v>
      </c>
      <c r="T22" s="795"/>
      <c r="U22" s="19">
        <f t="shared" si="21"/>
        <v>33554</v>
      </c>
      <c r="V22" s="19">
        <f t="shared" si="22"/>
        <v>1290.5384615384614</v>
      </c>
      <c r="W22" s="19">
        <f t="shared" si="23"/>
        <v>14.33931623931624</v>
      </c>
      <c r="X22" s="32">
        <f t="shared" si="24"/>
        <v>18.682628062360802</v>
      </c>
      <c r="Y22" s="461"/>
      <c r="Z22" s="328">
        <f t="shared" si="25"/>
        <v>0</v>
      </c>
      <c r="AA22" t="str">
        <f t="shared" si="14"/>
        <v>1A1R</v>
      </c>
      <c r="AB22" s="101">
        <f>IFERROR(VLOOKUP(A22,[1]Sheet7!$A$4:$B$30,2,FALSE),0)</f>
        <v>1</v>
      </c>
      <c r="AC22" s="101">
        <f t="shared" si="15"/>
        <v>1</v>
      </c>
    </row>
    <row r="23" spans="1:29" x14ac:dyDescent="0.25">
      <c r="A23" t="str">
        <f t="shared" si="3"/>
        <v>1A4F</v>
      </c>
      <c r="B23" s="733" t="s">
        <v>358</v>
      </c>
      <c r="C23" s="734" t="s">
        <v>264</v>
      </c>
      <c r="D23" s="734" t="s">
        <v>359</v>
      </c>
      <c r="E23" s="749" t="s">
        <v>356</v>
      </c>
      <c r="F23" s="329">
        <f>VLOOKUP(A23,'FORM I1 SUB STD NORMAL'!$A$16:$O$55,15,FALSE)</f>
        <v>26</v>
      </c>
      <c r="G23" s="562"/>
      <c r="H23" s="562"/>
      <c r="I23" s="562"/>
      <c r="J23" s="751"/>
      <c r="K23" s="753">
        <f t="shared" si="16"/>
        <v>26</v>
      </c>
      <c r="L23" s="736">
        <v>35.799999999999997</v>
      </c>
      <c r="M23" s="98">
        <f t="shared" si="17"/>
        <v>930.8</v>
      </c>
      <c r="N23" s="462">
        <f t="shared" si="18"/>
        <v>930.8</v>
      </c>
      <c r="O23" s="808">
        <v>1202</v>
      </c>
      <c r="P23" s="794"/>
      <c r="Q23" s="463">
        <f t="shared" si="19"/>
        <v>1202</v>
      </c>
      <c r="R23" s="462">
        <f t="shared" si="20"/>
        <v>46.230769230769234</v>
      </c>
      <c r="S23" s="809">
        <v>15116</v>
      </c>
      <c r="T23" s="795"/>
      <c r="U23" s="19">
        <f t="shared" si="21"/>
        <v>15116</v>
      </c>
      <c r="V23" s="19">
        <f t="shared" si="22"/>
        <v>581.38461538461536</v>
      </c>
      <c r="W23" s="19">
        <f t="shared" si="23"/>
        <v>16.239793725827248</v>
      </c>
      <c r="X23" s="32">
        <f t="shared" si="24"/>
        <v>12.575707154742096</v>
      </c>
      <c r="Y23" s="461"/>
      <c r="Z23" s="328">
        <f t="shared" si="25"/>
        <v>0</v>
      </c>
      <c r="AA23" t="str">
        <f t="shared" si="14"/>
        <v>1A4F</v>
      </c>
      <c r="AB23" s="101">
        <f>IFERROR(VLOOKUP(A23,[1]Sheet7!$A$4:$B$30,2,FALSE),0)</f>
        <v>1</v>
      </c>
      <c r="AC23" s="101">
        <f t="shared" si="15"/>
        <v>1</v>
      </c>
    </row>
    <row r="24" spans="1:29" x14ac:dyDescent="0.25">
      <c r="A24" t="str">
        <f t="shared" si="3"/>
        <v>1A4R</v>
      </c>
      <c r="B24" s="733" t="s">
        <v>358</v>
      </c>
      <c r="C24" s="734" t="s">
        <v>263</v>
      </c>
      <c r="D24" s="734" t="s">
        <v>356</v>
      </c>
      <c r="E24" s="749" t="s">
        <v>359</v>
      </c>
      <c r="F24" s="329">
        <f>VLOOKUP(A24,'FORM I1 SUB STD NORMAL'!$A$16:$O$55,15,FALSE)</f>
        <v>26</v>
      </c>
      <c r="G24" s="562"/>
      <c r="H24" s="562"/>
      <c r="I24" s="562"/>
      <c r="J24" s="751"/>
      <c r="K24" s="753">
        <f t="shared" si="16"/>
        <v>26</v>
      </c>
      <c r="L24" s="736">
        <v>35.799999999999997</v>
      </c>
      <c r="M24" s="98">
        <f t="shared" si="17"/>
        <v>930.8</v>
      </c>
      <c r="N24" s="462">
        <f t="shared" si="18"/>
        <v>930.8</v>
      </c>
      <c r="O24" s="808">
        <v>1202</v>
      </c>
      <c r="P24" s="794"/>
      <c r="Q24" s="463">
        <f t="shared" si="19"/>
        <v>1202</v>
      </c>
      <c r="R24" s="462">
        <f t="shared" si="20"/>
        <v>46.230769230769234</v>
      </c>
      <c r="S24" s="809">
        <v>14189.5</v>
      </c>
      <c r="T24" s="795"/>
      <c r="U24" s="19">
        <f t="shared" si="21"/>
        <v>14189.5</v>
      </c>
      <c r="V24" s="19">
        <f t="shared" si="22"/>
        <v>545.75</v>
      </c>
      <c r="W24" s="19">
        <f t="shared" si="23"/>
        <v>15.244413407821229</v>
      </c>
      <c r="X24" s="32">
        <f t="shared" si="24"/>
        <v>11.804908485856906</v>
      </c>
      <c r="Y24" s="461"/>
      <c r="Z24" s="328">
        <f t="shared" si="25"/>
        <v>0</v>
      </c>
      <c r="AA24" t="str">
        <f t="shared" si="14"/>
        <v>1A4R</v>
      </c>
      <c r="AB24" s="101">
        <f>IFERROR(VLOOKUP(A24,[1]Sheet7!$A$4:$B$30,2,FALSE),0)</f>
        <v>1</v>
      </c>
      <c r="AC24" s="101">
        <f t="shared" si="15"/>
        <v>1</v>
      </c>
    </row>
    <row r="25" spans="1:29" x14ac:dyDescent="0.25">
      <c r="A25" t="str">
        <f t="shared" si="3"/>
        <v>1B.1F</v>
      </c>
      <c r="B25" s="733" t="s">
        <v>360</v>
      </c>
      <c r="C25" s="734" t="s">
        <v>264</v>
      </c>
      <c r="D25" s="734" t="s">
        <v>355</v>
      </c>
      <c r="E25" s="749" t="s">
        <v>356</v>
      </c>
      <c r="F25" s="329">
        <f>VLOOKUP(A25,'FORM I1 SUB STD NORMAL'!$A$16:$O$55,15,FALSE)</f>
        <v>31</v>
      </c>
      <c r="G25" s="562"/>
      <c r="H25" s="562"/>
      <c r="I25" s="562"/>
      <c r="J25" s="751"/>
      <c r="K25" s="753">
        <f t="shared" si="16"/>
        <v>31</v>
      </c>
      <c r="L25" s="736">
        <v>90</v>
      </c>
      <c r="M25" s="98">
        <f t="shared" si="17"/>
        <v>2790</v>
      </c>
      <c r="N25" s="462">
        <f t="shared" si="18"/>
        <v>2790</v>
      </c>
      <c r="O25" s="808">
        <v>1663</v>
      </c>
      <c r="P25" s="794"/>
      <c r="Q25" s="463">
        <f t="shared" si="19"/>
        <v>1663</v>
      </c>
      <c r="R25" s="462">
        <f t="shared" si="20"/>
        <v>53.645161290322584</v>
      </c>
      <c r="S25" s="809">
        <v>28845.5</v>
      </c>
      <c r="T25" s="795"/>
      <c r="U25" s="19">
        <f t="shared" si="21"/>
        <v>28845.5</v>
      </c>
      <c r="V25" s="19">
        <f t="shared" si="22"/>
        <v>930.5</v>
      </c>
      <c r="W25" s="19">
        <f t="shared" si="23"/>
        <v>10.338888888888889</v>
      </c>
      <c r="X25" s="32">
        <f t="shared" si="24"/>
        <v>17.345460012026457</v>
      </c>
      <c r="Y25" s="461"/>
      <c r="Z25" s="328">
        <f t="shared" si="25"/>
        <v>0</v>
      </c>
      <c r="AA25" t="str">
        <f t="shared" si="14"/>
        <v>1B.1F</v>
      </c>
      <c r="AB25" s="101">
        <f>IFERROR(VLOOKUP(A25,[1]Sheet7!$A$4:$B$30,2,FALSE),0)</f>
        <v>1</v>
      </c>
      <c r="AC25" s="101">
        <f t="shared" si="15"/>
        <v>1</v>
      </c>
    </row>
    <row r="26" spans="1:29" x14ac:dyDescent="0.25">
      <c r="A26" t="str">
        <f t="shared" si="3"/>
        <v>1B.1R</v>
      </c>
      <c r="B26" s="733" t="s">
        <v>360</v>
      </c>
      <c r="C26" s="734" t="s">
        <v>263</v>
      </c>
      <c r="D26" s="734" t="s">
        <v>356</v>
      </c>
      <c r="E26" s="749" t="s">
        <v>355</v>
      </c>
      <c r="F26" s="329">
        <f>VLOOKUP(A26,'FORM I1 SUB STD NORMAL'!$A$16:$O$55,15,FALSE)</f>
        <v>31</v>
      </c>
      <c r="G26" s="562"/>
      <c r="H26" s="562"/>
      <c r="I26" s="562"/>
      <c r="J26" s="751"/>
      <c r="K26" s="753">
        <f t="shared" si="16"/>
        <v>31</v>
      </c>
      <c r="L26" s="736">
        <v>90</v>
      </c>
      <c r="M26" s="98">
        <f t="shared" si="17"/>
        <v>2790</v>
      </c>
      <c r="N26" s="462">
        <f t="shared" si="18"/>
        <v>2790</v>
      </c>
      <c r="O26" s="808">
        <v>1636</v>
      </c>
      <c r="P26" s="794"/>
      <c r="Q26" s="463">
        <f t="shared" si="19"/>
        <v>1636</v>
      </c>
      <c r="R26" s="462">
        <f t="shared" si="20"/>
        <v>52.774193548387096</v>
      </c>
      <c r="S26" s="809">
        <v>30412</v>
      </c>
      <c r="T26" s="795"/>
      <c r="U26" s="19">
        <f t="shared" si="21"/>
        <v>30412</v>
      </c>
      <c r="V26" s="19">
        <f t="shared" si="22"/>
        <v>981.0322580645161</v>
      </c>
      <c r="W26" s="19">
        <f t="shared" si="23"/>
        <v>10.900358422939068</v>
      </c>
      <c r="X26" s="32">
        <f t="shared" si="24"/>
        <v>18.589242053789732</v>
      </c>
      <c r="Y26" s="461"/>
      <c r="Z26" s="328">
        <f t="shared" si="25"/>
        <v>0</v>
      </c>
      <c r="AA26" t="str">
        <f t="shared" si="14"/>
        <v>1B.1R</v>
      </c>
      <c r="AB26" s="101">
        <f>IFERROR(VLOOKUP(A26,[1]Sheet7!$A$4:$B$30,2,FALSE),0)</f>
        <v>1</v>
      </c>
      <c r="AC26" s="101">
        <f t="shared" si="15"/>
        <v>1</v>
      </c>
    </row>
    <row r="27" spans="1:29" x14ac:dyDescent="0.25">
      <c r="A27" t="str">
        <f t="shared" si="3"/>
        <v>1B2F</v>
      </c>
      <c r="B27" s="733" t="s">
        <v>361</v>
      </c>
      <c r="C27" s="734" t="s">
        <v>264</v>
      </c>
      <c r="D27" s="734" t="s">
        <v>355</v>
      </c>
      <c r="E27" s="749" t="s">
        <v>356</v>
      </c>
      <c r="F27" s="329">
        <f>VLOOKUP(A27,'FORM I1 SUB STD NORMAL'!$A$16:$O$55,15,FALSE)</f>
        <v>26</v>
      </c>
      <c r="G27" s="562"/>
      <c r="H27" s="562"/>
      <c r="I27" s="562"/>
      <c r="J27" s="751"/>
      <c r="K27" s="753">
        <f t="shared" si="16"/>
        <v>26</v>
      </c>
      <c r="L27" s="736">
        <v>85.3</v>
      </c>
      <c r="M27" s="98">
        <f t="shared" si="17"/>
        <v>2217.7999999999997</v>
      </c>
      <c r="N27" s="462">
        <f t="shared" si="18"/>
        <v>2217.7999999999997</v>
      </c>
      <c r="O27" s="808">
        <v>1576</v>
      </c>
      <c r="P27" s="794"/>
      <c r="Q27" s="463">
        <f t="shared" si="19"/>
        <v>1576</v>
      </c>
      <c r="R27" s="462">
        <f t="shared" si="20"/>
        <v>60.615384615384613</v>
      </c>
      <c r="S27" s="809">
        <v>24986</v>
      </c>
      <c r="T27" s="795"/>
      <c r="U27" s="19">
        <f t="shared" si="21"/>
        <v>24986</v>
      </c>
      <c r="V27" s="19">
        <f t="shared" si="22"/>
        <v>961</v>
      </c>
      <c r="W27" s="19">
        <f t="shared" si="23"/>
        <v>11.266119577960142</v>
      </c>
      <c r="X27" s="32">
        <f t="shared" si="24"/>
        <v>15.854060913705585</v>
      </c>
      <c r="Y27" s="461"/>
      <c r="Z27" s="328">
        <f t="shared" si="25"/>
        <v>0</v>
      </c>
      <c r="AA27" t="str">
        <f t="shared" si="14"/>
        <v>1B2F</v>
      </c>
      <c r="AB27" s="101">
        <f>IFERROR(VLOOKUP(A27,[1]Sheet7!$A$4:$B$30,2,FALSE),0)</f>
        <v>1</v>
      </c>
      <c r="AC27" s="101">
        <f t="shared" si="15"/>
        <v>1</v>
      </c>
    </row>
    <row r="28" spans="1:29" x14ac:dyDescent="0.25">
      <c r="A28" t="str">
        <f t="shared" si="3"/>
        <v>1B2R</v>
      </c>
      <c r="B28" s="733" t="s">
        <v>361</v>
      </c>
      <c r="C28" s="734" t="s">
        <v>263</v>
      </c>
      <c r="D28" s="734" t="s">
        <v>356</v>
      </c>
      <c r="E28" s="749" t="s">
        <v>355</v>
      </c>
      <c r="F28" s="329">
        <f>VLOOKUP(A28,'FORM I1 SUB STD NORMAL'!$A$16:$O$55,15,FALSE)</f>
        <v>26</v>
      </c>
      <c r="G28" s="562"/>
      <c r="H28" s="562"/>
      <c r="I28" s="562"/>
      <c r="J28" s="751"/>
      <c r="K28" s="753">
        <f t="shared" si="16"/>
        <v>26</v>
      </c>
      <c r="L28" s="736">
        <v>85.3</v>
      </c>
      <c r="M28" s="98">
        <f t="shared" si="17"/>
        <v>2217.7999999999997</v>
      </c>
      <c r="N28" s="462">
        <f t="shared" si="18"/>
        <v>2217.7999999999997</v>
      </c>
      <c r="O28" s="808">
        <v>1765</v>
      </c>
      <c r="P28" s="794"/>
      <c r="Q28" s="463">
        <f t="shared" si="19"/>
        <v>1765</v>
      </c>
      <c r="R28" s="462">
        <f t="shared" si="20"/>
        <v>67.884615384615387</v>
      </c>
      <c r="S28" s="809">
        <v>27880.5</v>
      </c>
      <c r="T28" s="795"/>
      <c r="U28" s="19">
        <f t="shared" si="21"/>
        <v>27880.5</v>
      </c>
      <c r="V28" s="19">
        <f t="shared" si="22"/>
        <v>1072.3269230769231</v>
      </c>
      <c r="W28" s="19">
        <f t="shared" si="23"/>
        <v>12.571241771124539</v>
      </c>
      <c r="X28" s="32">
        <f t="shared" si="24"/>
        <v>15.796317280453257</v>
      </c>
      <c r="Y28" s="461"/>
      <c r="Z28" s="328">
        <f t="shared" si="25"/>
        <v>0</v>
      </c>
      <c r="AA28" t="str">
        <f t="shared" si="14"/>
        <v>1B2R</v>
      </c>
      <c r="AB28" s="101">
        <f>IFERROR(VLOOKUP(A28,[1]Sheet7!$A$4:$B$30,2,FALSE),0)</f>
        <v>1</v>
      </c>
      <c r="AC28" s="101">
        <f t="shared" si="15"/>
        <v>1</v>
      </c>
    </row>
    <row r="29" spans="1:29" x14ac:dyDescent="0.25">
      <c r="A29" t="str">
        <f t="shared" si="3"/>
        <v>1C1F</v>
      </c>
      <c r="B29" s="733" t="s">
        <v>362</v>
      </c>
      <c r="C29" s="734" t="s">
        <v>264</v>
      </c>
      <c r="D29" s="734" t="s">
        <v>355</v>
      </c>
      <c r="E29" s="749" t="s">
        <v>363</v>
      </c>
      <c r="F29" s="329">
        <f>VLOOKUP(A29,'FORM I1 SUB STD NORMAL'!$A$16:$O$55,15,FALSE)</f>
        <v>26</v>
      </c>
      <c r="G29" s="562"/>
      <c r="H29" s="562"/>
      <c r="I29" s="562"/>
      <c r="J29" s="751"/>
      <c r="K29" s="753">
        <f t="shared" si="16"/>
        <v>26</v>
      </c>
      <c r="L29" s="736">
        <v>55.5</v>
      </c>
      <c r="M29" s="98">
        <f t="shared" si="17"/>
        <v>1443</v>
      </c>
      <c r="N29" s="462">
        <f t="shared" si="18"/>
        <v>1443</v>
      </c>
      <c r="O29" s="808">
        <v>1445</v>
      </c>
      <c r="P29" s="794"/>
      <c r="Q29" s="463">
        <f t="shared" si="19"/>
        <v>1445</v>
      </c>
      <c r="R29" s="462">
        <f t="shared" si="20"/>
        <v>55.57692307692308</v>
      </c>
      <c r="S29" s="809">
        <v>33890</v>
      </c>
      <c r="T29" s="795"/>
      <c r="U29" s="19">
        <f t="shared" si="21"/>
        <v>33890</v>
      </c>
      <c r="V29" s="19">
        <f t="shared" si="22"/>
        <v>1303.4615384615386</v>
      </c>
      <c r="W29" s="19">
        <f t="shared" si="23"/>
        <v>23.485793485793486</v>
      </c>
      <c r="X29" s="32">
        <f t="shared" si="24"/>
        <v>23.453287197231834</v>
      </c>
      <c r="Y29" s="461"/>
      <c r="Z29" s="328">
        <f t="shared" si="25"/>
        <v>0</v>
      </c>
      <c r="AA29" t="str">
        <f t="shared" si="14"/>
        <v>1C1F</v>
      </c>
      <c r="AB29" s="101">
        <f>IFERROR(VLOOKUP(A29,[1]Sheet7!$A$4:$B$30,2,FALSE),0)</f>
        <v>0</v>
      </c>
      <c r="AC29" s="101">
        <f t="shared" si="15"/>
        <v>0</v>
      </c>
    </row>
    <row r="30" spans="1:29" x14ac:dyDescent="0.25">
      <c r="A30" t="str">
        <f t="shared" si="3"/>
        <v>1C1R</v>
      </c>
      <c r="B30" s="733" t="s">
        <v>362</v>
      </c>
      <c r="C30" s="734" t="s">
        <v>263</v>
      </c>
      <c r="D30" s="734" t="s">
        <v>363</v>
      </c>
      <c r="E30" s="749" t="s">
        <v>355</v>
      </c>
      <c r="F30" s="329">
        <f>VLOOKUP(A30,'FORM I1 SUB STD NORMAL'!$A$16:$O$55,15,FALSE)</f>
        <v>26</v>
      </c>
      <c r="G30" s="562"/>
      <c r="H30" s="562"/>
      <c r="I30" s="562"/>
      <c r="J30" s="751"/>
      <c r="K30" s="753">
        <f t="shared" si="16"/>
        <v>26</v>
      </c>
      <c r="L30" s="736">
        <v>55.5</v>
      </c>
      <c r="M30" s="98">
        <f t="shared" si="17"/>
        <v>1443</v>
      </c>
      <c r="N30" s="462">
        <f t="shared" si="18"/>
        <v>1443</v>
      </c>
      <c r="O30" s="808">
        <v>1558</v>
      </c>
      <c r="P30" s="794"/>
      <c r="Q30" s="463">
        <f t="shared" si="19"/>
        <v>1558</v>
      </c>
      <c r="R30" s="462">
        <f t="shared" si="20"/>
        <v>59.92307692307692</v>
      </c>
      <c r="S30" s="809">
        <v>34194</v>
      </c>
      <c r="T30" s="795"/>
      <c r="U30" s="19">
        <f t="shared" si="21"/>
        <v>34194</v>
      </c>
      <c r="V30" s="19">
        <f t="shared" si="22"/>
        <v>1315.1538461538462</v>
      </c>
      <c r="W30" s="19">
        <f t="shared" si="23"/>
        <v>23.696465696465697</v>
      </c>
      <c r="X30" s="32">
        <f t="shared" si="24"/>
        <v>21.94736842105263</v>
      </c>
      <c r="Y30" s="461"/>
      <c r="Z30" s="328">
        <f t="shared" si="25"/>
        <v>0</v>
      </c>
      <c r="AA30" t="str">
        <f t="shared" si="14"/>
        <v>1C1R</v>
      </c>
      <c r="AB30" s="101">
        <f>IFERROR(VLOOKUP(A30,[1]Sheet7!$A$4:$B$30,2,FALSE),0)</f>
        <v>0</v>
      </c>
      <c r="AC30" s="101">
        <f t="shared" si="15"/>
        <v>0</v>
      </c>
    </row>
    <row r="31" spans="1:29" x14ac:dyDescent="0.25">
      <c r="A31" t="str">
        <f t="shared" si="3"/>
        <v>1C2F</v>
      </c>
      <c r="B31" s="733" t="s">
        <v>364</v>
      </c>
      <c r="C31" s="734" t="s">
        <v>264</v>
      </c>
      <c r="D31" s="734" t="s">
        <v>355</v>
      </c>
      <c r="E31" s="749" t="s">
        <v>363</v>
      </c>
      <c r="F31" s="329">
        <f>VLOOKUP(A31,'FORM I1 SUB STD NORMAL'!$A$16:$O$55,15,FALSE)</f>
        <v>26</v>
      </c>
      <c r="G31" s="562"/>
      <c r="H31" s="562"/>
      <c r="I31" s="562"/>
      <c r="J31" s="751"/>
      <c r="K31" s="753">
        <f t="shared" si="16"/>
        <v>26</v>
      </c>
      <c r="L31" s="736">
        <v>50.8</v>
      </c>
      <c r="M31" s="98">
        <f t="shared" si="17"/>
        <v>1320.8</v>
      </c>
      <c r="N31" s="462">
        <f t="shared" si="18"/>
        <v>1320.8</v>
      </c>
      <c r="O31" s="808">
        <v>1583</v>
      </c>
      <c r="P31" s="794"/>
      <c r="Q31" s="463">
        <f t="shared" si="19"/>
        <v>1583</v>
      </c>
      <c r="R31" s="462">
        <f t="shared" si="20"/>
        <v>60.884615384615387</v>
      </c>
      <c r="S31" s="809">
        <v>23415</v>
      </c>
      <c r="T31" s="795"/>
      <c r="U31" s="19">
        <f t="shared" si="21"/>
        <v>23415</v>
      </c>
      <c r="V31" s="19">
        <f t="shared" si="22"/>
        <v>900.57692307692309</v>
      </c>
      <c r="W31" s="19">
        <f t="shared" si="23"/>
        <v>17.727892186553603</v>
      </c>
      <c r="X31" s="32">
        <f t="shared" si="24"/>
        <v>14.791535060012635</v>
      </c>
      <c r="Y31" s="461"/>
      <c r="Z31" s="328">
        <f t="shared" si="25"/>
        <v>0</v>
      </c>
      <c r="AA31" t="str">
        <f t="shared" si="14"/>
        <v>1C2F</v>
      </c>
      <c r="AB31" s="101">
        <f>IFERROR(VLOOKUP(A31,[1]Sheet7!$A$4:$B$30,2,FALSE),0)</f>
        <v>0</v>
      </c>
      <c r="AC31" s="101">
        <f t="shared" si="15"/>
        <v>0</v>
      </c>
    </row>
    <row r="32" spans="1:29" x14ac:dyDescent="0.25">
      <c r="A32" t="str">
        <f t="shared" si="3"/>
        <v>1C2R</v>
      </c>
      <c r="B32" s="733" t="s">
        <v>364</v>
      </c>
      <c r="C32" s="734" t="s">
        <v>263</v>
      </c>
      <c r="D32" s="734" t="s">
        <v>363</v>
      </c>
      <c r="E32" s="749" t="s">
        <v>355</v>
      </c>
      <c r="F32" s="329">
        <f>VLOOKUP(A32,'FORM I1 SUB STD NORMAL'!$A$16:$O$55,15,FALSE)</f>
        <v>26</v>
      </c>
      <c r="G32" s="562"/>
      <c r="H32" s="562"/>
      <c r="I32" s="562"/>
      <c r="J32" s="751"/>
      <c r="K32" s="753">
        <f t="shared" si="16"/>
        <v>26</v>
      </c>
      <c r="L32" s="736">
        <v>50.8</v>
      </c>
      <c r="M32" s="98">
        <f t="shared" si="17"/>
        <v>1320.8</v>
      </c>
      <c r="N32" s="462">
        <f t="shared" si="18"/>
        <v>1320.8</v>
      </c>
      <c r="O32" s="808">
        <v>1587</v>
      </c>
      <c r="P32" s="794"/>
      <c r="Q32" s="463">
        <f t="shared" si="19"/>
        <v>1587</v>
      </c>
      <c r="R32" s="462">
        <f t="shared" si="20"/>
        <v>61.03846153846154</v>
      </c>
      <c r="S32" s="809">
        <v>21541</v>
      </c>
      <c r="T32" s="795"/>
      <c r="U32" s="19">
        <f t="shared" si="21"/>
        <v>21541</v>
      </c>
      <c r="V32" s="19">
        <f t="shared" si="22"/>
        <v>828.5</v>
      </c>
      <c r="W32" s="19">
        <f t="shared" si="23"/>
        <v>16.309055118110237</v>
      </c>
      <c r="X32" s="32">
        <f t="shared" si="24"/>
        <v>13.573408947700063</v>
      </c>
      <c r="Y32" s="461"/>
      <c r="Z32" s="328">
        <f t="shared" si="25"/>
        <v>0</v>
      </c>
      <c r="AA32" t="str">
        <f t="shared" si="14"/>
        <v>1C2R</v>
      </c>
      <c r="AB32" s="101">
        <f>IFERROR(VLOOKUP(A32,[1]Sheet7!$A$4:$B$30,2,FALSE),0)</f>
        <v>0</v>
      </c>
      <c r="AC32" s="101">
        <f t="shared" si="15"/>
        <v>0</v>
      </c>
    </row>
    <row r="33" spans="1:29" x14ac:dyDescent="0.25">
      <c r="A33" t="str">
        <f t="shared" si="3"/>
        <v>1DF</v>
      </c>
      <c r="B33" s="733" t="s">
        <v>365</v>
      </c>
      <c r="C33" s="734" t="s">
        <v>264</v>
      </c>
      <c r="D33" s="734" t="s">
        <v>355</v>
      </c>
      <c r="E33" s="749" t="s">
        <v>366</v>
      </c>
      <c r="F33" s="329">
        <f>VLOOKUP(A33,'FORM I1 SUB STD NORMAL'!$A$16:$O$55,15,FALSE)</f>
        <v>21</v>
      </c>
      <c r="G33" s="562"/>
      <c r="H33" s="562"/>
      <c r="I33" s="562"/>
      <c r="J33" s="751"/>
      <c r="K33" s="753">
        <f t="shared" si="16"/>
        <v>21</v>
      </c>
      <c r="L33" s="736">
        <v>30.5</v>
      </c>
      <c r="M33" s="98">
        <f t="shared" si="17"/>
        <v>640.5</v>
      </c>
      <c r="N33" s="462">
        <f t="shared" si="18"/>
        <v>640.5</v>
      </c>
      <c r="O33" s="808">
        <v>981</v>
      </c>
      <c r="P33" s="794"/>
      <c r="Q33" s="463">
        <f t="shared" si="19"/>
        <v>981</v>
      </c>
      <c r="R33" s="462">
        <f t="shared" si="20"/>
        <v>46.714285714285715</v>
      </c>
      <c r="S33" s="809">
        <v>11362</v>
      </c>
      <c r="T33" s="795"/>
      <c r="U33" s="19">
        <f t="shared" si="21"/>
        <v>11362</v>
      </c>
      <c r="V33" s="19">
        <f t="shared" si="22"/>
        <v>541.04761904761904</v>
      </c>
      <c r="W33" s="19">
        <f t="shared" si="23"/>
        <v>17.739266198282593</v>
      </c>
      <c r="X33" s="32">
        <f t="shared" si="24"/>
        <v>11.582059123343527</v>
      </c>
      <c r="Y33" s="461"/>
      <c r="Z33" s="328">
        <f t="shared" si="25"/>
        <v>0</v>
      </c>
      <c r="AA33" t="str">
        <f t="shared" si="14"/>
        <v>1DF</v>
      </c>
      <c r="AB33" s="101">
        <f>IFERROR(VLOOKUP(A33,[1]Sheet7!$A$4:$B$30,2,FALSE),0)</f>
        <v>0</v>
      </c>
      <c r="AC33" s="101">
        <f t="shared" si="15"/>
        <v>0</v>
      </c>
    </row>
    <row r="34" spans="1:29" x14ac:dyDescent="0.25">
      <c r="A34" t="str">
        <f t="shared" si="3"/>
        <v>1DR</v>
      </c>
      <c r="B34" s="733" t="s">
        <v>365</v>
      </c>
      <c r="C34" s="734" t="s">
        <v>263</v>
      </c>
      <c r="D34" s="734" t="s">
        <v>366</v>
      </c>
      <c r="E34" s="749" t="s">
        <v>355</v>
      </c>
      <c r="F34" s="329">
        <f>VLOOKUP(A34,'FORM I1 SUB STD NORMAL'!$A$16:$O$55,15,FALSE)</f>
        <v>21</v>
      </c>
      <c r="G34" s="562"/>
      <c r="H34" s="562"/>
      <c r="I34" s="562"/>
      <c r="J34" s="751"/>
      <c r="K34" s="753">
        <f t="shared" si="16"/>
        <v>21</v>
      </c>
      <c r="L34" s="736">
        <v>30.5</v>
      </c>
      <c r="M34" s="98">
        <f t="shared" si="17"/>
        <v>640.5</v>
      </c>
      <c r="N34" s="462">
        <f t="shared" si="18"/>
        <v>640.5</v>
      </c>
      <c r="O34" s="808">
        <v>948</v>
      </c>
      <c r="P34" s="794"/>
      <c r="Q34" s="463">
        <f t="shared" si="19"/>
        <v>948</v>
      </c>
      <c r="R34" s="462">
        <f t="shared" si="20"/>
        <v>45.142857142857146</v>
      </c>
      <c r="S34" s="809">
        <v>12177</v>
      </c>
      <c r="T34" s="795"/>
      <c r="U34" s="19">
        <f t="shared" si="21"/>
        <v>12177</v>
      </c>
      <c r="V34" s="19">
        <f t="shared" si="22"/>
        <v>579.85714285714289</v>
      </c>
      <c r="W34" s="19">
        <f t="shared" si="23"/>
        <v>19.011709601873537</v>
      </c>
      <c r="X34" s="32">
        <f t="shared" si="24"/>
        <v>12.844936708860759</v>
      </c>
      <c r="Y34" s="461"/>
      <c r="Z34" s="328">
        <f t="shared" si="25"/>
        <v>0</v>
      </c>
      <c r="AA34" t="str">
        <f t="shared" si="14"/>
        <v>1DR</v>
      </c>
      <c r="AB34" s="101">
        <f>IFERROR(VLOOKUP(A34,[1]Sheet7!$A$4:$B$30,2,FALSE),0)</f>
        <v>0</v>
      </c>
      <c r="AC34" s="101">
        <f t="shared" si="15"/>
        <v>0</v>
      </c>
    </row>
    <row r="35" spans="1:29" x14ac:dyDescent="0.25">
      <c r="A35" t="str">
        <f t="shared" si="3"/>
        <v>2F</v>
      </c>
      <c r="B35" s="733">
        <v>2</v>
      </c>
      <c r="C35" s="734" t="s">
        <v>264</v>
      </c>
      <c r="D35" s="734" t="s">
        <v>368</v>
      </c>
      <c r="E35" s="749" t="s">
        <v>355</v>
      </c>
      <c r="F35" s="329">
        <f>VLOOKUP(A35,'FORM I1 SUB STD NORMAL'!$A$16:$O$55,15,FALSE)</f>
        <v>26</v>
      </c>
      <c r="G35" s="562"/>
      <c r="H35" s="562"/>
      <c r="I35" s="562"/>
      <c r="J35" s="751"/>
      <c r="K35" s="753">
        <f t="shared" si="16"/>
        <v>26</v>
      </c>
      <c r="L35" s="736">
        <v>50.2</v>
      </c>
      <c r="M35" s="98">
        <f t="shared" si="17"/>
        <v>1305.2</v>
      </c>
      <c r="N35" s="462">
        <f t="shared" si="18"/>
        <v>1305.2</v>
      </c>
      <c r="O35" s="808">
        <v>4363</v>
      </c>
      <c r="P35" s="794"/>
      <c r="Q35" s="463">
        <f t="shared" si="19"/>
        <v>4363</v>
      </c>
      <c r="R35" s="462">
        <f t="shared" si="20"/>
        <v>167.80769230769232</v>
      </c>
      <c r="S35" s="809">
        <v>49450</v>
      </c>
      <c r="T35" s="795"/>
      <c r="U35" s="19">
        <f t="shared" si="21"/>
        <v>49450</v>
      </c>
      <c r="V35" s="19">
        <f t="shared" si="22"/>
        <v>1901.9230769230769</v>
      </c>
      <c r="W35" s="19">
        <f t="shared" si="23"/>
        <v>37.886913882929818</v>
      </c>
      <c r="X35" s="32">
        <f t="shared" si="24"/>
        <v>11.333944533577814</v>
      </c>
      <c r="Y35" s="461"/>
      <c r="Z35" s="328">
        <f t="shared" si="25"/>
        <v>0</v>
      </c>
      <c r="AA35" t="str">
        <f t="shared" si="14"/>
        <v>2F</v>
      </c>
      <c r="AB35" s="101">
        <f>IFERROR(VLOOKUP(A35,[1]Sheet7!$A$4:$B$30,2,FALSE),0)</f>
        <v>0</v>
      </c>
      <c r="AC35" s="101">
        <f t="shared" si="15"/>
        <v>0</v>
      </c>
    </row>
    <row r="36" spans="1:29" x14ac:dyDescent="0.25">
      <c r="A36" t="str">
        <f t="shared" si="3"/>
        <v>2R</v>
      </c>
      <c r="B36" s="733">
        <v>2</v>
      </c>
      <c r="C36" s="734" t="s">
        <v>263</v>
      </c>
      <c r="D36" s="734" t="s">
        <v>355</v>
      </c>
      <c r="E36" s="749" t="s">
        <v>368</v>
      </c>
      <c r="F36" s="329">
        <f>VLOOKUP(A36,'FORM I1 SUB STD NORMAL'!$A$16:$O$55,15,FALSE)</f>
        <v>26</v>
      </c>
      <c r="G36" s="562"/>
      <c r="H36" s="562"/>
      <c r="I36" s="562"/>
      <c r="J36" s="751"/>
      <c r="K36" s="753">
        <f t="shared" si="16"/>
        <v>26</v>
      </c>
      <c r="L36" s="736">
        <v>50.2</v>
      </c>
      <c r="M36" s="98">
        <f t="shared" si="17"/>
        <v>1305.2</v>
      </c>
      <c r="N36" s="462">
        <f t="shared" si="18"/>
        <v>1305.2</v>
      </c>
      <c r="O36" s="808">
        <v>4237</v>
      </c>
      <c r="P36" s="794"/>
      <c r="Q36" s="463">
        <f t="shared" si="19"/>
        <v>4237</v>
      </c>
      <c r="R36" s="462">
        <f t="shared" si="20"/>
        <v>162.96153846153845</v>
      </c>
      <c r="S36" s="809">
        <v>43154</v>
      </c>
      <c r="T36" s="795"/>
      <c r="U36" s="19">
        <f t="shared" si="21"/>
        <v>43154</v>
      </c>
      <c r="V36" s="19">
        <f t="shared" si="22"/>
        <v>1659.7692307692307</v>
      </c>
      <c r="W36" s="19">
        <f t="shared" si="23"/>
        <v>33.063132087036472</v>
      </c>
      <c r="X36" s="32">
        <f t="shared" si="24"/>
        <v>10.185036582487609</v>
      </c>
      <c r="Y36" s="461"/>
      <c r="Z36" s="328">
        <f t="shared" si="25"/>
        <v>0</v>
      </c>
      <c r="AA36" t="str">
        <f t="shared" si="14"/>
        <v>2R</v>
      </c>
      <c r="AB36" s="101">
        <f>IFERROR(VLOOKUP(A36,[1]Sheet7!$A$4:$B$30,2,FALSE),0)</f>
        <v>0</v>
      </c>
      <c r="AC36" s="101">
        <f t="shared" si="15"/>
        <v>0</v>
      </c>
    </row>
    <row r="37" spans="1:29" x14ac:dyDescent="0.25">
      <c r="A37" t="str">
        <f t="shared" si="3"/>
        <v>3F</v>
      </c>
      <c r="B37" s="733">
        <v>3</v>
      </c>
      <c r="C37" s="734" t="s">
        <v>264</v>
      </c>
      <c r="D37" s="734" t="s">
        <v>370</v>
      </c>
      <c r="E37" s="749" t="s">
        <v>355</v>
      </c>
      <c r="F37" s="329">
        <f>VLOOKUP(A37,'FORM I1 SUB STD NORMAL'!$A$16:$O$55,15,FALSE)</f>
        <v>26</v>
      </c>
      <c r="G37" s="562"/>
      <c r="H37" s="562"/>
      <c r="I37" s="562"/>
      <c r="J37" s="751"/>
      <c r="K37" s="753">
        <f t="shared" si="16"/>
        <v>26</v>
      </c>
      <c r="L37" s="736">
        <v>80.2</v>
      </c>
      <c r="M37" s="98">
        <f t="shared" si="17"/>
        <v>2085.2000000000003</v>
      </c>
      <c r="N37" s="462">
        <f t="shared" si="18"/>
        <v>2085.2000000000003</v>
      </c>
      <c r="O37" s="808">
        <v>1192</v>
      </c>
      <c r="P37" s="794"/>
      <c r="Q37" s="463">
        <f t="shared" si="19"/>
        <v>1192</v>
      </c>
      <c r="R37" s="462">
        <f t="shared" si="20"/>
        <v>45.846153846153847</v>
      </c>
      <c r="S37" s="809">
        <v>27704</v>
      </c>
      <c r="T37" s="795"/>
      <c r="U37" s="19">
        <f t="shared" si="21"/>
        <v>27704</v>
      </c>
      <c r="V37" s="19">
        <f t="shared" si="22"/>
        <v>1065.5384615384614</v>
      </c>
      <c r="W37" s="19">
        <f t="shared" si="23"/>
        <v>13.286015729906003</v>
      </c>
      <c r="X37" s="32">
        <f t="shared" si="24"/>
        <v>23.241610738255034</v>
      </c>
      <c r="Y37" s="461"/>
      <c r="Z37" s="328">
        <f t="shared" si="25"/>
        <v>0</v>
      </c>
      <c r="AA37" t="str">
        <f t="shared" si="14"/>
        <v>3F</v>
      </c>
      <c r="AB37" s="101">
        <f>IFERROR(VLOOKUP(A37,[1]Sheet7!$A$4:$B$30,2,FALSE),0)</f>
        <v>0</v>
      </c>
      <c r="AC37" s="101">
        <f t="shared" si="15"/>
        <v>0</v>
      </c>
    </row>
    <row r="38" spans="1:29" x14ac:dyDescent="0.25">
      <c r="A38" t="str">
        <f t="shared" si="3"/>
        <v>3R</v>
      </c>
      <c r="B38" s="733">
        <v>3</v>
      </c>
      <c r="C38" s="734" t="s">
        <v>263</v>
      </c>
      <c r="D38" s="734" t="s">
        <v>355</v>
      </c>
      <c r="E38" s="749" t="s">
        <v>370</v>
      </c>
      <c r="F38" s="329">
        <f>VLOOKUP(A38,'FORM I1 SUB STD NORMAL'!$A$16:$O$55,15,FALSE)</f>
        <v>26</v>
      </c>
      <c r="G38" s="562"/>
      <c r="H38" s="562"/>
      <c r="I38" s="562"/>
      <c r="J38" s="751"/>
      <c r="K38" s="753">
        <f t="shared" si="16"/>
        <v>26</v>
      </c>
      <c r="L38" s="736">
        <v>80.2</v>
      </c>
      <c r="M38" s="98">
        <f t="shared" si="17"/>
        <v>2085.2000000000003</v>
      </c>
      <c r="N38" s="462">
        <f t="shared" si="18"/>
        <v>2085.2000000000003</v>
      </c>
      <c r="O38" s="808">
        <v>1221</v>
      </c>
      <c r="P38" s="794"/>
      <c r="Q38" s="463">
        <f t="shared" si="19"/>
        <v>1221</v>
      </c>
      <c r="R38" s="462">
        <f t="shared" si="20"/>
        <v>46.96153846153846</v>
      </c>
      <c r="S38" s="809">
        <v>27079</v>
      </c>
      <c r="T38" s="795"/>
      <c r="U38" s="19">
        <f t="shared" si="21"/>
        <v>27079</v>
      </c>
      <c r="V38" s="19">
        <f t="shared" si="22"/>
        <v>1041.5</v>
      </c>
      <c r="W38" s="19">
        <f t="shared" si="23"/>
        <v>12.986284289276806</v>
      </c>
      <c r="X38" s="32">
        <f t="shared" si="24"/>
        <v>22.177723177723177</v>
      </c>
      <c r="Y38" s="461"/>
      <c r="Z38" s="328">
        <f t="shared" si="25"/>
        <v>0</v>
      </c>
      <c r="AA38" t="str">
        <f t="shared" si="14"/>
        <v>3R</v>
      </c>
      <c r="AB38" s="101">
        <f>IFERROR(VLOOKUP(A38,[1]Sheet7!$A$4:$B$30,2,FALSE),0)</f>
        <v>0</v>
      </c>
      <c r="AC38" s="101">
        <f t="shared" si="15"/>
        <v>0</v>
      </c>
    </row>
    <row r="39" spans="1:29" x14ac:dyDescent="0.25">
      <c r="A39" t="str">
        <f t="shared" si="3"/>
        <v>5F</v>
      </c>
      <c r="B39" s="733">
        <v>5</v>
      </c>
      <c r="C39" s="734" t="s">
        <v>264</v>
      </c>
      <c r="D39" s="734" t="s">
        <v>372</v>
      </c>
      <c r="E39" s="749" t="s">
        <v>356</v>
      </c>
      <c r="F39" s="329">
        <f>VLOOKUP(A39,'FORM I1 SUB STD NORMAL'!$A$16:$O$55,15,FALSE)</f>
        <v>26</v>
      </c>
      <c r="G39" s="562"/>
      <c r="H39" s="562"/>
      <c r="I39" s="562"/>
      <c r="J39" s="751"/>
      <c r="K39" s="753">
        <f t="shared" si="16"/>
        <v>25</v>
      </c>
      <c r="L39" s="736">
        <v>117</v>
      </c>
      <c r="M39" s="98">
        <f t="shared" si="17"/>
        <v>3042</v>
      </c>
      <c r="N39" s="462">
        <f t="shared" si="18"/>
        <v>2925</v>
      </c>
      <c r="O39" s="808">
        <v>1603</v>
      </c>
      <c r="P39" s="794"/>
      <c r="Q39" s="463">
        <f t="shared" si="19"/>
        <v>1603</v>
      </c>
      <c r="R39" s="462">
        <f t="shared" si="20"/>
        <v>64.12</v>
      </c>
      <c r="S39" s="809">
        <v>29349</v>
      </c>
      <c r="T39" s="795"/>
      <c r="U39" s="19">
        <f t="shared" si="21"/>
        <v>29349</v>
      </c>
      <c r="V39" s="19">
        <f t="shared" si="22"/>
        <v>1173.96</v>
      </c>
      <c r="W39" s="19">
        <f t="shared" si="23"/>
        <v>10.033846153846154</v>
      </c>
      <c r="X39" s="32">
        <f t="shared" si="24"/>
        <v>18.308796007485963</v>
      </c>
      <c r="Y39" s="461">
        <v>1</v>
      </c>
      <c r="Z39" s="328">
        <f t="shared" si="25"/>
        <v>117</v>
      </c>
      <c r="AA39" t="str">
        <f t="shared" si="14"/>
        <v>5F</v>
      </c>
      <c r="AB39" s="101">
        <f>IFERROR(VLOOKUP(A39,[1]Sheet7!$A$4:$B$30,2,FALSE),0)</f>
        <v>1</v>
      </c>
      <c r="AC39" s="101">
        <f t="shared" si="15"/>
        <v>2</v>
      </c>
    </row>
    <row r="40" spans="1:29" x14ac:dyDescent="0.25">
      <c r="A40" t="str">
        <f t="shared" si="3"/>
        <v>5R</v>
      </c>
      <c r="B40" s="733">
        <v>5</v>
      </c>
      <c r="C40" s="734" t="s">
        <v>263</v>
      </c>
      <c r="D40" s="734" t="s">
        <v>356</v>
      </c>
      <c r="E40" s="749" t="s">
        <v>372</v>
      </c>
      <c r="F40" s="329">
        <f>VLOOKUP(A40,'FORM I1 SUB STD NORMAL'!$A$16:$O$55,15,FALSE)</f>
        <v>26</v>
      </c>
      <c r="G40" s="562"/>
      <c r="H40" s="562"/>
      <c r="I40" s="562"/>
      <c r="J40" s="751"/>
      <c r="K40" s="753">
        <f t="shared" si="16"/>
        <v>25</v>
      </c>
      <c r="L40" s="736">
        <v>117</v>
      </c>
      <c r="M40" s="98">
        <f t="shared" si="17"/>
        <v>3042</v>
      </c>
      <c r="N40" s="462">
        <f t="shared" si="18"/>
        <v>2925</v>
      </c>
      <c r="O40" s="808">
        <v>1636</v>
      </c>
      <c r="P40" s="794"/>
      <c r="Q40" s="463">
        <f t="shared" si="19"/>
        <v>1636</v>
      </c>
      <c r="R40" s="462">
        <f t="shared" si="20"/>
        <v>65.44</v>
      </c>
      <c r="S40" s="809">
        <v>31854</v>
      </c>
      <c r="T40" s="795"/>
      <c r="U40" s="19">
        <f t="shared" si="21"/>
        <v>31854</v>
      </c>
      <c r="V40" s="19">
        <f t="shared" si="22"/>
        <v>1274.1600000000001</v>
      </c>
      <c r="W40" s="19">
        <f t="shared" si="23"/>
        <v>10.890256410256411</v>
      </c>
      <c r="X40" s="32">
        <f t="shared" si="24"/>
        <v>19.470660146699267</v>
      </c>
      <c r="Y40" s="461">
        <v>1</v>
      </c>
      <c r="Z40" s="328">
        <f t="shared" si="25"/>
        <v>117</v>
      </c>
      <c r="AA40" t="str">
        <f t="shared" si="14"/>
        <v>5R</v>
      </c>
      <c r="AB40" s="101">
        <f>IFERROR(VLOOKUP(A40,[1]Sheet7!$A$4:$B$30,2,FALSE),0)</f>
        <v>1</v>
      </c>
      <c r="AC40" s="101">
        <f t="shared" si="15"/>
        <v>2</v>
      </c>
    </row>
    <row r="41" spans="1:29" x14ac:dyDescent="0.25">
      <c r="A41" t="str">
        <f t="shared" si="3"/>
        <v>6AF</v>
      </c>
      <c r="B41" s="733" t="s">
        <v>373</v>
      </c>
      <c r="C41" s="734" t="s">
        <v>264</v>
      </c>
      <c r="D41" s="734" t="s">
        <v>374</v>
      </c>
      <c r="E41" s="749" t="s">
        <v>356</v>
      </c>
      <c r="F41" s="329">
        <f>VLOOKUP(A41,'FORM I1 SUB STD NORMAL'!$A$16:$O$55,15,FALSE)</f>
        <v>36</v>
      </c>
      <c r="G41" s="562"/>
      <c r="H41" s="562"/>
      <c r="I41" s="562"/>
      <c r="J41" s="751"/>
      <c r="K41" s="753">
        <f t="shared" si="16"/>
        <v>36</v>
      </c>
      <c r="L41" s="736">
        <v>149.9</v>
      </c>
      <c r="M41" s="98">
        <f t="shared" si="17"/>
        <v>5396.4000000000005</v>
      </c>
      <c r="N41" s="462">
        <f t="shared" si="18"/>
        <v>5396.4000000000005</v>
      </c>
      <c r="O41" s="808">
        <v>1428</v>
      </c>
      <c r="P41" s="794"/>
      <c r="Q41" s="463">
        <f t="shared" si="19"/>
        <v>1428</v>
      </c>
      <c r="R41" s="462">
        <f t="shared" si="20"/>
        <v>39.666666666666664</v>
      </c>
      <c r="S41" s="809">
        <v>32903.5</v>
      </c>
      <c r="T41" s="795"/>
      <c r="U41" s="19">
        <f t="shared" si="21"/>
        <v>32903.5</v>
      </c>
      <c r="V41" s="19">
        <f t="shared" si="22"/>
        <v>913.98611111111109</v>
      </c>
      <c r="W41" s="19">
        <f t="shared" si="23"/>
        <v>6.0973056111481725</v>
      </c>
      <c r="X41" s="32">
        <f t="shared" si="24"/>
        <v>23.041666666666668</v>
      </c>
      <c r="Y41" s="461"/>
      <c r="Z41" s="328">
        <f t="shared" si="25"/>
        <v>0</v>
      </c>
      <c r="AA41" t="str">
        <f t="shared" si="14"/>
        <v>6AF</v>
      </c>
      <c r="AB41" s="101">
        <f>IFERROR(VLOOKUP(A41,[1]Sheet7!$A$4:$B$30,2,FALSE),0)</f>
        <v>1</v>
      </c>
      <c r="AC41" s="101">
        <f t="shared" si="15"/>
        <v>1</v>
      </c>
    </row>
    <row r="42" spans="1:29" x14ac:dyDescent="0.25">
      <c r="A42" t="str">
        <f t="shared" si="3"/>
        <v>6AR</v>
      </c>
      <c r="B42" s="733" t="s">
        <v>373</v>
      </c>
      <c r="C42" s="734" t="s">
        <v>263</v>
      </c>
      <c r="D42" s="734" t="s">
        <v>356</v>
      </c>
      <c r="E42" s="749" t="s">
        <v>374</v>
      </c>
      <c r="F42" s="329">
        <f>VLOOKUP(A42,'FORM I1 SUB STD NORMAL'!$A$16:$O$55,15,FALSE)</f>
        <v>26</v>
      </c>
      <c r="G42" s="562"/>
      <c r="H42" s="562"/>
      <c r="I42" s="562"/>
      <c r="J42" s="751"/>
      <c r="K42" s="753">
        <f t="shared" si="16"/>
        <v>26</v>
      </c>
      <c r="L42" s="736">
        <v>149.9</v>
      </c>
      <c r="M42" s="98">
        <f t="shared" si="17"/>
        <v>3897.4</v>
      </c>
      <c r="N42" s="462">
        <f t="shared" si="18"/>
        <v>3897.4</v>
      </c>
      <c r="O42" s="808">
        <v>1382</v>
      </c>
      <c r="P42" s="794"/>
      <c r="Q42" s="463">
        <f t="shared" si="19"/>
        <v>1382</v>
      </c>
      <c r="R42" s="462">
        <f t="shared" si="20"/>
        <v>53.153846153846153</v>
      </c>
      <c r="S42" s="809">
        <v>31723.5</v>
      </c>
      <c r="T42" s="795"/>
      <c r="U42" s="19">
        <f t="shared" si="21"/>
        <v>31723.5</v>
      </c>
      <c r="V42" s="19">
        <f t="shared" si="22"/>
        <v>1220.1346153846155</v>
      </c>
      <c r="W42" s="19">
        <f t="shared" si="23"/>
        <v>8.1396572073690159</v>
      </c>
      <c r="X42" s="32">
        <f t="shared" si="24"/>
        <v>22.954775687409551</v>
      </c>
      <c r="Y42" s="461"/>
      <c r="Z42" s="328">
        <f t="shared" si="25"/>
        <v>0</v>
      </c>
      <c r="AA42" t="str">
        <f t="shared" si="14"/>
        <v>6AR</v>
      </c>
      <c r="AB42" s="101">
        <f>IFERROR(VLOOKUP(A42,[1]Sheet7!$A$4:$B$30,2,FALSE),0)</f>
        <v>1</v>
      </c>
      <c r="AC42" s="101">
        <f t="shared" si="15"/>
        <v>1</v>
      </c>
    </row>
    <row r="43" spans="1:29" x14ac:dyDescent="0.25">
      <c r="A43" t="str">
        <f t="shared" si="3"/>
        <v>6BF</v>
      </c>
      <c r="B43" s="733" t="s">
        <v>375</v>
      </c>
      <c r="C43" s="734" t="s">
        <v>264</v>
      </c>
      <c r="D43" s="734" t="s">
        <v>376</v>
      </c>
      <c r="E43" s="749" t="s">
        <v>356</v>
      </c>
      <c r="F43" s="329">
        <f>VLOOKUP(A43,'FORM I1 SUB STD NORMAL'!$A$16:$O$55,15,FALSE)</f>
        <v>21</v>
      </c>
      <c r="G43" s="562"/>
      <c r="H43" s="562"/>
      <c r="I43" s="562"/>
      <c r="J43" s="751"/>
      <c r="K43" s="753">
        <f t="shared" si="16"/>
        <v>21</v>
      </c>
      <c r="L43" s="736">
        <v>97.5</v>
      </c>
      <c r="M43" s="98">
        <f t="shared" si="17"/>
        <v>2047.5</v>
      </c>
      <c r="N43" s="462">
        <f t="shared" si="18"/>
        <v>2047.5</v>
      </c>
      <c r="O43" s="808">
        <v>978</v>
      </c>
      <c r="P43" s="794"/>
      <c r="Q43" s="463">
        <f t="shared" si="19"/>
        <v>978</v>
      </c>
      <c r="R43" s="462">
        <f t="shared" si="20"/>
        <v>46.571428571428569</v>
      </c>
      <c r="S43" s="809">
        <v>27186</v>
      </c>
      <c r="T43" s="795"/>
      <c r="U43" s="19">
        <f t="shared" si="21"/>
        <v>27186</v>
      </c>
      <c r="V43" s="19">
        <f t="shared" si="22"/>
        <v>1294.5714285714287</v>
      </c>
      <c r="W43" s="19">
        <f t="shared" si="23"/>
        <v>13.277655677655678</v>
      </c>
      <c r="X43" s="32">
        <f t="shared" si="24"/>
        <v>27.79754601226994</v>
      </c>
      <c r="Y43" s="461"/>
      <c r="Z43" s="328">
        <f t="shared" si="25"/>
        <v>0</v>
      </c>
      <c r="AA43" t="str">
        <f t="shared" si="14"/>
        <v>6BF</v>
      </c>
      <c r="AB43" s="101">
        <f>IFERROR(VLOOKUP(A43,[1]Sheet7!$A$4:$B$30,2,FALSE),0)</f>
        <v>1</v>
      </c>
      <c r="AC43" s="101">
        <f t="shared" si="15"/>
        <v>1</v>
      </c>
    </row>
    <row r="44" spans="1:29" x14ac:dyDescent="0.25">
      <c r="A44" t="str">
        <f t="shared" si="3"/>
        <v>6BR</v>
      </c>
      <c r="B44" s="733" t="s">
        <v>375</v>
      </c>
      <c r="C44" s="734" t="s">
        <v>263</v>
      </c>
      <c r="D44" s="734" t="s">
        <v>356</v>
      </c>
      <c r="E44" s="749" t="s">
        <v>376</v>
      </c>
      <c r="F44" s="329">
        <f>VLOOKUP(A44,'FORM I1 SUB STD NORMAL'!$A$16:$O$55,15,FALSE)</f>
        <v>26</v>
      </c>
      <c r="G44" s="562"/>
      <c r="H44" s="562"/>
      <c r="I44" s="562"/>
      <c r="J44" s="751"/>
      <c r="K44" s="753">
        <f t="shared" si="16"/>
        <v>26</v>
      </c>
      <c r="L44" s="736">
        <v>97.5</v>
      </c>
      <c r="M44" s="98">
        <f t="shared" si="17"/>
        <v>2535</v>
      </c>
      <c r="N44" s="462">
        <f t="shared" si="18"/>
        <v>2535</v>
      </c>
      <c r="O44" s="808">
        <v>1165</v>
      </c>
      <c r="P44" s="794"/>
      <c r="Q44" s="463">
        <f t="shared" si="19"/>
        <v>1165</v>
      </c>
      <c r="R44" s="462">
        <f t="shared" si="20"/>
        <v>44.807692307692307</v>
      </c>
      <c r="S44" s="809">
        <v>25938</v>
      </c>
      <c r="T44" s="795"/>
      <c r="U44" s="19">
        <f t="shared" si="21"/>
        <v>25938</v>
      </c>
      <c r="V44" s="19">
        <f t="shared" si="22"/>
        <v>997.61538461538464</v>
      </c>
      <c r="W44" s="19">
        <f t="shared" si="23"/>
        <v>10.231952662721893</v>
      </c>
      <c r="X44" s="32">
        <f t="shared" si="24"/>
        <v>22.264377682403435</v>
      </c>
      <c r="Y44" s="461"/>
      <c r="Z44" s="328">
        <f t="shared" si="25"/>
        <v>0</v>
      </c>
      <c r="AA44" t="str">
        <f t="shared" si="14"/>
        <v>6BR</v>
      </c>
      <c r="AB44" s="101">
        <f>IFERROR(VLOOKUP(A44,[1]Sheet7!$A$4:$B$30,2,FALSE),0)</f>
        <v>1</v>
      </c>
      <c r="AC44" s="101">
        <f t="shared" si="15"/>
        <v>1</v>
      </c>
    </row>
    <row r="45" spans="1:29" x14ac:dyDescent="0.25">
      <c r="A45" t="str">
        <f t="shared" si="3"/>
        <v>6CF</v>
      </c>
      <c r="B45" s="733" t="s">
        <v>377</v>
      </c>
      <c r="C45" s="734" t="s">
        <v>264</v>
      </c>
      <c r="D45" s="734" t="s">
        <v>363</v>
      </c>
      <c r="E45" s="749" t="s">
        <v>356</v>
      </c>
      <c r="F45" s="329">
        <f>VLOOKUP(A45,'FORM I1 SUB STD NORMAL'!$A$16:$O$55,15,FALSE)</f>
        <v>26</v>
      </c>
      <c r="G45" s="562"/>
      <c r="H45" s="562"/>
      <c r="I45" s="562"/>
      <c r="J45" s="751"/>
      <c r="K45" s="753">
        <f t="shared" si="16"/>
        <v>26</v>
      </c>
      <c r="L45" s="736">
        <v>41</v>
      </c>
      <c r="M45" s="98">
        <f t="shared" si="17"/>
        <v>1066</v>
      </c>
      <c r="N45" s="462">
        <f t="shared" si="18"/>
        <v>1066</v>
      </c>
      <c r="O45" s="808">
        <v>1198</v>
      </c>
      <c r="P45" s="794"/>
      <c r="Q45" s="463">
        <f t="shared" si="19"/>
        <v>1198</v>
      </c>
      <c r="R45" s="462">
        <f t="shared" si="20"/>
        <v>46.07692307692308</v>
      </c>
      <c r="S45" s="809">
        <v>16324</v>
      </c>
      <c r="T45" s="795"/>
      <c r="U45" s="19">
        <f t="shared" si="21"/>
        <v>16324</v>
      </c>
      <c r="V45" s="19">
        <f t="shared" si="22"/>
        <v>627.84615384615381</v>
      </c>
      <c r="W45" s="19">
        <f t="shared" si="23"/>
        <v>15.313320825515948</v>
      </c>
      <c r="X45" s="32">
        <f t="shared" si="24"/>
        <v>13.626043405676127</v>
      </c>
      <c r="Y45" s="461"/>
      <c r="Z45" s="328">
        <f t="shared" si="25"/>
        <v>0</v>
      </c>
      <c r="AA45" t="str">
        <f t="shared" si="14"/>
        <v>6CF</v>
      </c>
      <c r="AB45" s="101">
        <f>IFERROR(VLOOKUP(A45,[1]Sheet7!$A$4:$B$30,2,FALSE),0)</f>
        <v>1</v>
      </c>
      <c r="AC45" s="101">
        <f t="shared" si="15"/>
        <v>1</v>
      </c>
    </row>
    <row r="46" spans="1:29" x14ac:dyDescent="0.25">
      <c r="A46" t="str">
        <f t="shared" si="3"/>
        <v>6CR</v>
      </c>
      <c r="B46" s="733" t="s">
        <v>377</v>
      </c>
      <c r="C46" s="734" t="s">
        <v>263</v>
      </c>
      <c r="D46" s="734" t="s">
        <v>356</v>
      </c>
      <c r="E46" s="749" t="s">
        <v>363</v>
      </c>
      <c r="F46" s="329">
        <f>VLOOKUP(A46,'FORM I1 SUB STD NORMAL'!$A$16:$O$55,15,FALSE)</f>
        <v>26</v>
      </c>
      <c r="G46" s="562"/>
      <c r="H46" s="562"/>
      <c r="I46" s="562"/>
      <c r="J46" s="751"/>
      <c r="K46" s="753">
        <f t="shared" si="16"/>
        <v>26</v>
      </c>
      <c r="L46" s="736">
        <v>41</v>
      </c>
      <c r="M46" s="98">
        <f t="shared" si="17"/>
        <v>1066</v>
      </c>
      <c r="N46" s="462">
        <f t="shared" si="18"/>
        <v>1066</v>
      </c>
      <c r="O46" s="808">
        <v>1175</v>
      </c>
      <c r="P46" s="794"/>
      <c r="Q46" s="463">
        <f t="shared" si="19"/>
        <v>1175</v>
      </c>
      <c r="R46" s="462">
        <f t="shared" si="20"/>
        <v>45.192307692307693</v>
      </c>
      <c r="S46" s="809">
        <v>13250</v>
      </c>
      <c r="T46" s="795"/>
      <c r="U46" s="19">
        <f t="shared" si="21"/>
        <v>13250</v>
      </c>
      <c r="V46" s="19">
        <f t="shared" si="22"/>
        <v>509.61538461538464</v>
      </c>
      <c r="W46" s="19">
        <f t="shared" si="23"/>
        <v>12.429643527204503</v>
      </c>
      <c r="X46" s="32">
        <f t="shared" si="24"/>
        <v>11.276595744680851</v>
      </c>
      <c r="Y46" s="461"/>
      <c r="Z46" s="328">
        <f t="shared" si="25"/>
        <v>0</v>
      </c>
      <c r="AA46" t="str">
        <f t="shared" si="14"/>
        <v>6CR</v>
      </c>
      <c r="AB46" s="101">
        <f>IFERROR(VLOOKUP(A46,[1]Sheet7!$A$4:$B$30,2,FALSE),0)</f>
        <v>1</v>
      </c>
      <c r="AC46" s="101">
        <f t="shared" si="15"/>
        <v>1</v>
      </c>
    </row>
    <row r="47" spans="1:29" x14ac:dyDescent="0.25">
      <c r="A47" t="str">
        <f t="shared" si="3"/>
        <v>7AF</v>
      </c>
      <c r="B47" s="733" t="s">
        <v>378</v>
      </c>
      <c r="C47" s="734" t="s">
        <v>264</v>
      </c>
      <c r="D47" s="734" t="s">
        <v>374</v>
      </c>
      <c r="E47" s="749" t="s">
        <v>356</v>
      </c>
      <c r="F47" s="329">
        <f>VLOOKUP(A47,'FORM I1 SUB STD NORMAL'!$A$16:$O$55,15,FALSE)</f>
        <v>21</v>
      </c>
      <c r="G47" s="562"/>
      <c r="H47" s="562"/>
      <c r="I47" s="562"/>
      <c r="J47" s="751"/>
      <c r="K47" s="753">
        <f t="shared" si="16"/>
        <v>21</v>
      </c>
      <c r="L47" s="736">
        <v>136.5</v>
      </c>
      <c r="M47" s="98">
        <f t="shared" si="17"/>
        <v>2866.5</v>
      </c>
      <c r="N47" s="462">
        <f t="shared" si="18"/>
        <v>2866.5</v>
      </c>
      <c r="O47" s="808">
        <v>960</v>
      </c>
      <c r="P47" s="794"/>
      <c r="Q47" s="463">
        <f t="shared" si="19"/>
        <v>960</v>
      </c>
      <c r="R47" s="462">
        <f t="shared" si="20"/>
        <v>45.714285714285715</v>
      </c>
      <c r="S47" s="809">
        <v>17323.5</v>
      </c>
      <c r="T47" s="795"/>
      <c r="U47" s="19">
        <f t="shared" si="21"/>
        <v>17323.5</v>
      </c>
      <c r="V47" s="19">
        <f t="shared" si="22"/>
        <v>824.92857142857144</v>
      </c>
      <c r="W47" s="19">
        <f t="shared" si="23"/>
        <v>6.0434327577184721</v>
      </c>
      <c r="X47" s="32">
        <f t="shared" si="24"/>
        <v>18.045312500000001</v>
      </c>
      <c r="Y47" s="461"/>
      <c r="Z47" s="328">
        <f t="shared" si="25"/>
        <v>0</v>
      </c>
      <c r="AA47" t="str">
        <f t="shared" si="14"/>
        <v>7AF</v>
      </c>
      <c r="AB47" s="101">
        <f>IFERROR(VLOOKUP(A47,[1]Sheet7!$A$4:$B$30,2,FALSE),0)</f>
        <v>1</v>
      </c>
      <c r="AC47" s="101">
        <f t="shared" si="15"/>
        <v>1</v>
      </c>
    </row>
    <row r="48" spans="1:29" x14ac:dyDescent="0.25">
      <c r="A48" t="str">
        <f t="shared" si="3"/>
        <v>7AR</v>
      </c>
      <c r="B48" s="733" t="s">
        <v>378</v>
      </c>
      <c r="C48" s="734" t="s">
        <v>263</v>
      </c>
      <c r="D48" s="734" t="s">
        <v>356</v>
      </c>
      <c r="E48" s="749" t="s">
        <v>374</v>
      </c>
      <c r="F48" s="329">
        <f>VLOOKUP(A48,'FORM I1 SUB STD NORMAL'!$A$16:$O$55,15,FALSE)</f>
        <v>26</v>
      </c>
      <c r="G48" s="562"/>
      <c r="H48" s="562"/>
      <c r="I48" s="562"/>
      <c r="J48" s="751"/>
      <c r="K48" s="753">
        <f t="shared" si="16"/>
        <v>26</v>
      </c>
      <c r="L48" s="736">
        <v>136.5</v>
      </c>
      <c r="M48" s="98">
        <f t="shared" si="17"/>
        <v>3549</v>
      </c>
      <c r="N48" s="462">
        <f t="shared" si="18"/>
        <v>3549</v>
      </c>
      <c r="O48" s="808">
        <v>1179</v>
      </c>
      <c r="P48" s="794"/>
      <c r="Q48" s="463">
        <f t="shared" si="19"/>
        <v>1179</v>
      </c>
      <c r="R48" s="462">
        <f t="shared" si="20"/>
        <v>45.346153846153847</v>
      </c>
      <c r="S48" s="809">
        <v>17371.5</v>
      </c>
      <c r="T48" s="795"/>
      <c r="U48" s="19">
        <f t="shared" si="21"/>
        <v>17371.5</v>
      </c>
      <c r="V48" s="19">
        <f t="shared" si="22"/>
        <v>668.13461538461536</v>
      </c>
      <c r="W48" s="19">
        <f t="shared" si="23"/>
        <v>4.8947590870667792</v>
      </c>
      <c r="X48" s="32">
        <f t="shared" si="24"/>
        <v>14.73409669211196</v>
      </c>
      <c r="Y48" s="461"/>
      <c r="Z48" s="328">
        <f t="shared" si="25"/>
        <v>0</v>
      </c>
      <c r="AA48" t="str">
        <f t="shared" si="14"/>
        <v>7AR</v>
      </c>
      <c r="AB48" s="101">
        <f>IFERROR(VLOOKUP(A48,[1]Sheet7!$A$4:$B$30,2,FALSE),0)</f>
        <v>1</v>
      </c>
      <c r="AC48" s="101">
        <f t="shared" si="15"/>
        <v>1</v>
      </c>
    </row>
    <row r="49" spans="1:29" x14ac:dyDescent="0.25">
      <c r="A49" t="str">
        <f t="shared" si="3"/>
        <v>7CF</v>
      </c>
      <c r="B49" s="733" t="s">
        <v>379</v>
      </c>
      <c r="C49" s="734" t="s">
        <v>264</v>
      </c>
      <c r="D49" s="734" t="s">
        <v>380</v>
      </c>
      <c r="E49" s="749" t="s">
        <v>356</v>
      </c>
      <c r="F49" s="329">
        <f>VLOOKUP(A49,'FORM I1 SUB STD NORMAL'!$A$16:$O$55,15,FALSE)</f>
        <v>31</v>
      </c>
      <c r="G49" s="562"/>
      <c r="H49" s="562"/>
      <c r="I49" s="562"/>
      <c r="J49" s="751"/>
      <c r="K49" s="753">
        <f t="shared" si="16"/>
        <v>31</v>
      </c>
      <c r="L49" s="736">
        <v>117.5</v>
      </c>
      <c r="M49" s="98">
        <f t="shared" si="17"/>
        <v>3642.5</v>
      </c>
      <c r="N49" s="462">
        <f t="shared" si="18"/>
        <v>3642.5</v>
      </c>
      <c r="O49" s="808">
        <v>1380</v>
      </c>
      <c r="P49" s="794"/>
      <c r="Q49" s="463">
        <f t="shared" si="19"/>
        <v>1380</v>
      </c>
      <c r="R49" s="462">
        <f t="shared" si="20"/>
        <v>44.516129032258064</v>
      </c>
      <c r="S49" s="809">
        <v>23729.5</v>
      </c>
      <c r="T49" s="795"/>
      <c r="U49" s="19">
        <f t="shared" si="21"/>
        <v>23729.5</v>
      </c>
      <c r="V49" s="19">
        <f t="shared" si="22"/>
        <v>765.4677419354839</v>
      </c>
      <c r="W49" s="19">
        <f t="shared" si="23"/>
        <v>6.5146190803019906</v>
      </c>
      <c r="X49" s="32">
        <f t="shared" si="24"/>
        <v>17.195289855072463</v>
      </c>
      <c r="Y49" s="461"/>
      <c r="Z49" s="328">
        <f t="shared" si="25"/>
        <v>0</v>
      </c>
      <c r="AA49" t="str">
        <f t="shared" si="14"/>
        <v>7CF</v>
      </c>
      <c r="AB49" s="101">
        <f>IFERROR(VLOOKUP(A49,[1]Sheet7!$A$4:$B$30,2,FALSE),0)</f>
        <v>1</v>
      </c>
      <c r="AC49" s="101">
        <f t="shared" si="15"/>
        <v>1</v>
      </c>
    </row>
    <row r="50" spans="1:29" x14ac:dyDescent="0.25">
      <c r="A50" t="str">
        <f t="shared" si="3"/>
        <v>7CR</v>
      </c>
      <c r="B50" s="733" t="s">
        <v>379</v>
      </c>
      <c r="C50" s="734" t="s">
        <v>263</v>
      </c>
      <c r="D50" s="734" t="s">
        <v>356</v>
      </c>
      <c r="E50" s="749" t="s">
        <v>380</v>
      </c>
      <c r="F50" s="329">
        <f>VLOOKUP(A50,'FORM I1 SUB STD NORMAL'!$A$16:$O$55,15,FALSE)</f>
        <v>31</v>
      </c>
      <c r="G50" s="562"/>
      <c r="H50" s="562"/>
      <c r="I50" s="562"/>
      <c r="J50" s="751"/>
      <c r="K50" s="753">
        <f t="shared" si="16"/>
        <v>31</v>
      </c>
      <c r="L50" s="736">
        <v>117.5</v>
      </c>
      <c r="M50" s="98">
        <f t="shared" si="17"/>
        <v>3642.5</v>
      </c>
      <c r="N50" s="462">
        <f t="shared" si="18"/>
        <v>3642.5</v>
      </c>
      <c r="O50" s="808">
        <v>1443</v>
      </c>
      <c r="P50" s="794"/>
      <c r="Q50" s="463">
        <f t="shared" si="19"/>
        <v>1443</v>
      </c>
      <c r="R50" s="462">
        <f t="shared" si="20"/>
        <v>46.548387096774192</v>
      </c>
      <c r="S50" s="809">
        <v>23145</v>
      </c>
      <c r="T50" s="795"/>
      <c r="U50" s="19">
        <f t="shared" si="21"/>
        <v>23145</v>
      </c>
      <c r="V50" s="19">
        <f t="shared" si="22"/>
        <v>746.61290322580646</v>
      </c>
      <c r="W50" s="19">
        <f t="shared" si="23"/>
        <v>6.3541523678792036</v>
      </c>
      <c r="X50" s="32">
        <f t="shared" si="24"/>
        <v>16.03950103950104</v>
      </c>
      <c r="Y50" s="461"/>
      <c r="Z50" s="328">
        <f t="shared" si="25"/>
        <v>0</v>
      </c>
      <c r="AA50" t="str">
        <f t="shared" si="14"/>
        <v>7CR</v>
      </c>
      <c r="AB50" s="101">
        <f>IFERROR(VLOOKUP(A50,[1]Sheet7!$A$4:$B$30,2,FALSE),0)</f>
        <v>1</v>
      </c>
      <c r="AC50" s="101">
        <f t="shared" si="15"/>
        <v>1</v>
      </c>
    </row>
    <row r="51" spans="1:29" x14ac:dyDescent="0.25">
      <c r="A51" t="str">
        <f t="shared" si="3"/>
        <v>8F</v>
      </c>
      <c r="B51" s="733">
        <v>8</v>
      </c>
      <c r="C51" s="734" t="s">
        <v>264</v>
      </c>
      <c r="D51" s="734" t="s">
        <v>382</v>
      </c>
      <c r="E51" s="749" t="s">
        <v>356</v>
      </c>
      <c r="F51" s="329">
        <f>VLOOKUP(A51,'FORM I1 SUB STD NORMAL'!$A$16:$O$55,15,FALSE)</f>
        <v>21</v>
      </c>
      <c r="G51" s="562"/>
      <c r="H51" s="562"/>
      <c r="I51" s="562"/>
      <c r="J51" s="751"/>
      <c r="K51" s="753">
        <f t="shared" si="16"/>
        <v>21</v>
      </c>
      <c r="L51" s="736">
        <v>78.8</v>
      </c>
      <c r="M51" s="98">
        <f t="shared" si="17"/>
        <v>1654.8</v>
      </c>
      <c r="N51" s="462">
        <f t="shared" si="18"/>
        <v>1654.8</v>
      </c>
      <c r="O51" s="808">
        <v>966</v>
      </c>
      <c r="P51" s="794"/>
      <c r="Q51" s="463">
        <f t="shared" si="19"/>
        <v>966</v>
      </c>
      <c r="R51" s="462">
        <f t="shared" si="20"/>
        <v>46</v>
      </c>
      <c r="S51" s="809">
        <v>12473</v>
      </c>
      <c r="T51" s="795"/>
      <c r="U51" s="19">
        <f t="shared" si="21"/>
        <v>12473</v>
      </c>
      <c r="V51" s="19">
        <f t="shared" si="22"/>
        <v>593.95238095238096</v>
      </c>
      <c r="W51" s="19">
        <f t="shared" si="23"/>
        <v>7.5374667633550887</v>
      </c>
      <c r="X51" s="32">
        <f t="shared" si="24"/>
        <v>12.912008281573499</v>
      </c>
      <c r="Y51" s="461"/>
      <c r="Z51" s="328">
        <f t="shared" si="25"/>
        <v>0</v>
      </c>
      <c r="AA51" t="str">
        <f t="shared" si="14"/>
        <v>8F</v>
      </c>
      <c r="AB51" s="101">
        <f>IFERROR(VLOOKUP(A51,[1]Sheet7!$A$4:$B$30,2,FALSE),0)</f>
        <v>1</v>
      </c>
      <c r="AC51" s="101">
        <f t="shared" si="15"/>
        <v>1</v>
      </c>
    </row>
    <row r="52" spans="1:29" x14ac:dyDescent="0.25">
      <c r="A52" t="str">
        <f t="shared" si="3"/>
        <v>8R</v>
      </c>
      <c r="B52" s="733">
        <v>8</v>
      </c>
      <c r="C52" s="734" t="s">
        <v>263</v>
      </c>
      <c r="D52" s="734" t="s">
        <v>356</v>
      </c>
      <c r="E52" s="749" t="s">
        <v>382</v>
      </c>
      <c r="F52" s="329">
        <f>VLOOKUP(A52,'FORM I1 SUB STD NORMAL'!$A$16:$O$55,15,FALSE)</f>
        <v>21</v>
      </c>
      <c r="G52" s="562"/>
      <c r="H52" s="562"/>
      <c r="I52" s="562"/>
      <c r="J52" s="751"/>
      <c r="K52" s="753">
        <f t="shared" si="16"/>
        <v>21</v>
      </c>
      <c r="L52" s="736">
        <v>78.8</v>
      </c>
      <c r="M52" s="98">
        <f t="shared" si="17"/>
        <v>1654.8</v>
      </c>
      <c r="N52" s="462">
        <f t="shared" si="18"/>
        <v>1654.8</v>
      </c>
      <c r="O52" s="808">
        <v>951</v>
      </c>
      <c r="P52" s="794"/>
      <c r="Q52" s="463">
        <f t="shared" si="19"/>
        <v>951</v>
      </c>
      <c r="R52" s="462">
        <f t="shared" si="20"/>
        <v>45.285714285714285</v>
      </c>
      <c r="S52" s="809">
        <v>12588</v>
      </c>
      <c r="T52" s="795"/>
      <c r="U52" s="19">
        <f t="shared" si="21"/>
        <v>12588</v>
      </c>
      <c r="V52" s="19">
        <f t="shared" si="22"/>
        <v>599.42857142857144</v>
      </c>
      <c r="W52" s="19">
        <f t="shared" si="23"/>
        <v>7.6069615663524299</v>
      </c>
      <c r="X52" s="32">
        <f t="shared" si="24"/>
        <v>13.236593059936908</v>
      </c>
      <c r="Y52" s="461"/>
      <c r="Z52" s="328">
        <f t="shared" si="25"/>
        <v>0</v>
      </c>
      <c r="AA52" t="str">
        <f t="shared" si="14"/>
        <v>8R</v>
      </c>
      <c r="AB52" s="101">
        <f>IFERROR(VLOOKUP(A52,[1]Sheet7!$A$4:$B$30,2,FALSE),0)</f>
        <v>1</v>
      </c>
      <c r="AC52" s="101">
        <f t="shared" si="15"/>
        <v>1</v>
      </c>
    </row>
    <row r="53" spans="1:29" x14ac:dyDescent="0.25">
      <c r="A53" t="str">
        <f t="shared" si="3"/>
        <v>9AF</v>
      </c>
      <c r="B53" s="733" t="s">
        <v>383</v>
      </c>
      <c r="C53" s="734" t="s">
        <v>264</v>
      </c>
      <c r="D53" s="734" t="s">
        <v>384</v>
      </c>
      <c r="E53" s="749" t="s">
        <v>385</v>
      </c>
      <c r="F53" s="329">
        <f>VLOOKUP(A53,'FORM I1 SUB STD NORMAL'!$A$16:$O$55,15,FALSE)</f>
        <v>26</v>
      </c>
      <c r="G53" s="562"/>
      <c r="H53" s="562"/>
      <c r="I53" s="562"/>
      <c r="J53" s="751"/>
      <c r="K53" s="753">
        <f t="shared" si="16"/>
        <v>26</v>
      </c>
      <c r="L53" s="736">
        <v>70.3</v>
      </c>
      <c r="M53" s="98">
        <f t="shared" si="17"/>
        <v>1827.8</v>
      </c>
      <c r="N53" s="462">
        <f t="shared" si="18"/>
        <v>1827.8</v>
      </c>
      <c r="O53" s="808">
        <v>1169</v>
      </c>
      <c r="P53" s="794"/>
      <c r="Q53" s="463">
        <f t="shared" si="19"/>
        <v>1169</v>
      </c>
      <c r="R53" s="462">
        <f t="shared" si="20"/>
        <v>44.96153846153846</v>
      </c>
      <c r="S53" s="809">
        <v>18446</v>
      </c>
      <c r="T53" s="795"/>
      <c r="U53" s="19">
        <f t="shared" si="21"/>
        <v>18446</v>
      </c>
      <c r="V53" s="19">
        <f t="shared" si="22"/>
        <v>709.46153846153845</v>
      </c>
      <c r="W53" s="19">
        <f t="shared" si="23"/>
        <v>10.091913776124303</v>
      </c>
      <c r="X53" s="32">
        <f t="shared" si="24"/>
        <v>15.779298545765611</v>
      </c>
      <c r="Y53" s="461"/>
      <c r="Z53" s="328">
        <f t="shared" si="25"/>
        <v>0</v>
      </c>
      <c r="AA53" t="str">
        <f t="shared" si="14"/>
        <v>9AF</v>
      </c>
      <c r="AB53" s="101">
        <f>IFERROR(VLOOKUP(A53,[1]Sheet7!$A$4:$B$30,2,FALSE),0)</f>
        <v>1</v>
      </c>
      <c r="AC53" s="101">
        <f t="shared" si="15"/>
        <v>1</v>
      </c>
    </row>
    <row r="54" spans="1:29" x14ac:dyDescent="0.25">
      <c r="A54" t="str">
        <f t="shared" si="3"/>
        <v>9AR</v>
      </c>
      <c r="B54" s="733" t="s">
        <v>383</v>
      </c>
      <c r="C54" s="734" t="s">
        <v>263</v>
      </c>
      <c r="D54" s="734" t="s">
        <v>385</v>
      </c>
      <c r="E54" s="749" t="s">
        <v>384</v>
      </c>
      <c r="F54" s="329">
        <f>VLOOKUP(A54,'FORM I1 SUB STD NORMAL'!$A$16:$O$55,15,FALSE)</f>
        <v>26</v>
      </c>
      <c r="G54" s="562"/>
      <c r="H54" s="562"/>
      <c r="I54" s="562"/>
      <c r="J54" s="751"/>
      <c r="K54" s="753">
        <f t="shared" si="16"/>
        <v>26</v>
      </c>
      <c r="L54" s="736">
        <v>70.3</v>
      </c>
      <c r="M54" s="98">
        <f t="shared" si="17"/>
        <v>1827.8</v>
      </c>
      <c r="N54" s="462">
        <f t="shared" si="18"/>
        <v>1827.8</v>
      </c>
      <c r="O54" s="808">
        <v>1205</v>
      </c>
      <c r="P54" s="794"/>
      <c r="Q54" s="463">
        <f t="shared" si="19"/>
        <v>1205</v>
      </c>
      <c r="R54" s="462">
        <f t="shared" si="20"/>
        <v>46.346153846153847</v>
      </c>
      <c r="S54" s="809">
        <v>19450</v>
      </c>
      <c r="T54" s="795"/>
      <c r="U54" s="19">
        <f t="shared" si="21"/>
        <v>19450</v>
      </c>
      <c r="V54" s="19">
        <f t="shared" si="22"/>
        <v>748.07692307692309</v>
      </c>
      <c r="W54" s="19">
        <f t="shared" si="23"/>
        <v>10.641208009629063</v>
      </c>
      <c r="X54" s="32">
        <f t="shared" si="24"/>
        <v>16.141078838174273</v>
      </c>
      <c r="Y54" s="461"/>
      <c r="Z54" s="328">
        <f t="shared" si="25"/>
        <v>0</v>
      </c>
      <c r="AA54" t="str">
        <f t="shared" si="14"/>
        <v>9AR</v>
      </c>
      <c r="AB54" s="101">
        <f>IFERROR(VLOOKUP(A54,[1]Sheet7!$A$4:$B$30,2,FALSE),0)</f>
        <v>1</v>
      </c>
      <c r="AC54" s="101">
        <f t="shared" si="15"/>
        <v>1</v>
      </c>
    </row>
    <row r="55" spans="1:29" x14ac:dyDescent="0.25">
      <c r="A55" t="str">
        <f t="shared" si="3"/>
        <v>9BF</v>
      </c>
      <c r="B55" s="733" t="s">
        <v>386</v>
      </c>
      <c r="C55" s="734" t="s">
        <v>264</v>
      </c>
      <c r="D55" s="734" t="s">
        <v>387</v>
      </c>
      <c r="E55" s="749" t="s">
        <v>385</v>
      </c>
      <c r="F55" s="329">
        <f>VLOOKUP(A55,'FORM I1 SUB STD NORMAL'!$A$16:$O$55,15,FALSE)</f>
        <v>26</v>
      </c>
      <c r="G55" s="562"/>
      <c r="H55" s="562"/>
      <c r="I55" s="562"/>
      <c r="J55" s="751"/>
      <c r="K55" s="753">
        <f t="shared" si="16"/>
        <v>26</v>
      </c>
      <c r="L55" s="736">
        <v>78</v>
      </c>
      <c r="M55" s="98">
        <f t="shared" si="17"/>
        <v>2028</v>
      </c>
      <c r="N55" s="462">
        <f t="shared" si="18"/>
        <v>2028</v>
      </c>
      <c r="O55" s="808">
        <v>1190</v>
      </c>
      <c r="P55" s="794"/>
      <c r="Q55" s="463">
        <f t="shared" si="19"/>
        <v>1190</v>
      </c>
      <c r="R55" s="462">
        <f t="shared" si="20"/>
        <v>45.769230769230766</v>
      </c>
      <c r="S55" s="809">
        <v>16236</v>
      </c>
      <c r="T55" s="795"/>
      <c r="U55" s="19">
        <f t="shared" si="21"/>
        <v>16236</v>
      </c>
      <c r="V55" s="19">
        <f t="shared" si="22"/>
        <v>624.46153846153845</v>
      </c>
      <c r="W55" s="19">
        <f t="shared" si="23"/>
        <v>8.0059171597633139</v>
      </c>
      <c r="X55" s="32">
        <f t="shared" si="24"/>
        <v>13.643697478991596</v>
      </c>
      <c r="Y55" s="461"/>
      <c r="Z55" s="328">
        <f t="shared" si="25"/>
        <v>0</v>
      </c>
      <c r="AA55" t="str">
        <f t="shared" si="14"/>
        <v>9BF</v>
      </c>
      <c r="AB55" s="101">
        <f>IFERROR(VLOOKUP(A55,[1]Sheet7!$A$4:$B$30,2,FALSE),0)</f>
        <v>1</v>
      </c>
      <c r="AC55" s="101">
        <f t="shared" si="15"/>
        <v>1</v>
      </c>
    </row>
    <row r="56" spans="1:29" x14ac:dyDescent="0.25">
      <c r="A56" t="str">
        <f t="shared" si="3"/>
        <v>9BR</v>
      </c>
      <c r="B56" s="733" t="s">
        <v>386</v>
      </c>
      <c r="C56" s="734" t="s">
        <v>263</v>
      </c>
      <c r="D56" s="734" t="s">
        <v>385</v>
      </c>
      <c r="E56" s="749" t="s">
        <v>388</v>
      </c>
      <c r="F56" s="329">
        <f>VLOOKUP(A56,'FORM I1 SUB STD NORMAL'!$A$16:$O$55,15,FALSE)</f>
        <v>26</v>
      </c>
      <c r="G56" s="562"/>
      <c r="H56" s="562"/>
      <c r="I56" s="562"/>
      <c r="J56" s="751"/>
      <c r="K56" s="753">
        <f t="shared" si="16"/>
        <v>26</v>
      </c>
      <c r="L56" s="736">
        <v>78</v>
      </c>
      <c r="M56" s="98">
        <f t="shared" si="17"/>
        <v>2028</v>
      </c>
      <c r="N56" s="462">
        <f t="shared" si="18"/>
        <v>2028</v>
      </c>
      <c r="O56" s="808">
        <v>1215</v>
      </c>
      <c r="P56" s="794"/>
      <c r="Q56" s="463">
        <f t="shared" si="19"/>
        <v>1215</v>
      </c>
      <c r="R56" s="462">
        <f t="shared" si="20"/>
        <v>46.730769230769234</v>
      </c>
      <c r="S56" s="809">
        <v>16682.5</v>
      </c>
      <c r="T56" s="795"/>
      <c r="U56" s="19">
        <f t="shared" si="21"/>
        <v>16682.5</v>
      </c>
      <c r="V56" s="19">
        <f t="shared" si="22"/>
        <v>641.63461538461536</v>
      </c>
      <c r="W56" s="19">
        <f t="shared" si="23"/>
        <v>8.2260848126232737</v>
      </c>
      <c r="X56" s="32">
        <f t="shared" si="24"/>
        <v>13.730452674897119</v>
      </c>
      <c r="Y56" s="461"/>
      <c r="Z56" s="328">
        <f t="shared" si="25"/>
        <v>0</v>
      </c>
      <c r="AA56" t="str">
        <f t="shared" si="14"/>
        <v>9BR</v>
      </c>
      <c r="AB56" s="101">
        <f>IFERROR(VLOOKUP(A56,[1]Sheet7!$A$4:$B$30,2,FALSE),0)</f>
        <v>1</v>
      </c>
      <c r="AC56" s="101">
        <f t="shared" si="15"/>
        <v>1</v>
      </c>
    </row>
    <row r="57" spans="1:29" ht="13.5" thickBot="1" x14ac:dyDescent="0.3">
      <c r="B57" s="894"/>
      <c r="C57" s="895"/>
      <c r="D57" s="895"/>
      <c r="E57" s="895"/>
      <c r="F57" s="896"/>
      <c r="G57" s="897"/>
      <c r="H57" s="897"/>
      <c r="I57" s="897"/>
      <c r="J57" s="898"/>
      <c r="K57" s="754"/>
      <c r="L57" s="475"/>
      <c r="M57" s="899"/>
      <c r="N57" s="900"/>
      <c r="O57" s="901"/>
      <c r="P57" s="902"/>
      <c r="Q57" s="902"/>
      <c r="R57" s="903"/>
      <c r="S57" s="904"/>
      <c r="T57" s="905"/>
      <c r="U57" s="905"/>
      <c r="V57" s="905"/>
      <c r="W57" s="905"/>
      <c r="X57" s="906"/>
      <c r="Y57" s="907"/>
      <c r="Z57" s="908"/>
    </row>
    <row r="58" spans="1:29" ht="13" thickBot="1" x14ac:dyDescent="0.3">
      <c r="B58" s="520" t="s">
        <v>62</v>
      </c>
      <c r="C58" s="521"/>
      <c r="D58" s="522"/>
      <c r="E58" s="522"/>
      <c r="F58" s="431">
        <f t="shared" ref="F58:K58" si="26">SUM(F17:F56)</f>
        <v>998</v>
      </c>
      <c r="G58" s="432">
        <f t="shared" si="26"/>
        <v>0</v>
      </c>
      <c r="H58" s="432">
        <f t="shared" si="26"/>
        <v>0</v>
      </c>
      <c r="I58" s="432">
        <f t="shared" si="26"/>
        <v>0</v>
      </c>
      <c r="J58" s="432">
        <f t="shared" si="26"/>
        <v>0</v>
      </c>
      <c r="K58" s="471">
        <f t="shared" si="26"/>
        <v>996</v>
      </c>
      <c r="L58" s="472"/>
      <c r="M58" s="476">
        <f>SUM(M17:M56)</f>
        <v>82763.400000000009</v>
      </c>
      <c r="N58" s="477">
        <f>SUM(N17:N56)</f>
        <v>82529.400000000009</v>
      </c>
      <c r="O58" s="431">
        <f>SUM(O17:O56)</f>
        <v>58044</v>
      </c>
      <c r="P58" s="432">
        <f>SUM(P17:P56)</f>
        <v>0</v>
      </c>
      <c r="Q58" s="432">
        <f>SUM(Q17:Q56)</f>
        <v>58044</v>
      </c>
      <c r="R58" s="489">
        <f>Q58/K58</f>
        <v>58.277108433734938</v>
      </c>
      <c r="S58" s="436">
        <f>SUM(S17:S56)</f>
        <v>1023296</v>
      </c>
      <c r="T58" s="437">
        <f>SUM(T17:T56)</f>
        <v>0</v>
      </c>
      <c r="U58" s="485">
        <f>SUM(U17:U56)</f>
        <v>1023296</v>
      </c>
      <c r="V58" s="486">
        <f>U58/K58</f>
        <v>1027.4056224899598</v>
      </c>
      <c r="W58" s="487">
        <f>U58/N58</f>
        <v>12.399169265740451</v>
      </c>
      <c r="X58" s="488">
        <f>IF(Q58&gt;0,U58/Q58,0)</f>
        <v>17.629660257735512</v>
      </c>
      <c r="Y58" s="431">
        <f>SUM(Y17:Y56)</f>
        <v>2</v>
      </c>
      <c r="Z58" s="489">
        <f>SUM(Z17:Z56)</f>
        <v>234</v>
      </c>
      <c r="AA58" s="104"/>
    </row>
    <row r="59" spans="1:29" x14ac:dyDescent="0.25">
      <c r="M59" s="330"/>
      <c r="N59" s="331"/>
      <c r="O59" s="332"/>
      <c r="P59" s="332"/>
    </row>
    <row r="60" spans="1:29" x14ac:dyDescent="0.25">
      <c r="M60" s="330"/>
      <c r="N60" s="333"/>
      <c r="O60" s="332"/>
      <c r="P60" s="332"/>
    </row>
    <row r="61" spans="1:29" x14ac:dyDescent="0.25">
      <c r="H61" s="101"/>
      <c r="I61" s="101"/>
      <c r="J61" s="101"/>
      <c r="M61" s="331">
        <f>M58-N58</f>
        <v>234</v>
      </c>
      <c r="N61" s="331"/>
      <c r="O61" s="332"/>
      <c r="P61" s="332"/>
    </row>
    <row r="62" spans="1:29" x14ac:dyDescent="0.25">
      <c r="O62" s="332"/>
      <c r="P62" s="332"/>
    </row>
    <row r="63" spans="1:29" x14ac:dyDescent="0.25">
      <c r="O63" s="332"/>
      <c r="P63" s="332"/>
    </row>
    <row r="64" spans="1:29" x14ac:dyDescent="0.25">
      <c r="O64" s="332"/>
      <c r="P64" s="332"/>
    </row>
    <row r="65" spans="8:16" x14ac:dyDescent="0.25">
      <c r="O65" s="332"/>
      <c r="P65" s="332"/>
    </row>
    <row r="66" spans="8:16" x14ac:dyDescent="0.25">
      <c r="I66" s="333" t="e">
        <f>I67-N58</f>
        <v>#REF!</v>
      </c>
      <c r="J66" s="333"/>
      <c r="O66" s="332"/>
      <c r="P66" s="332"/>
    </row>
    <row r="67" spans="8:16" x14ac:dyDescent="0.25">
      <c r="H67" s="59" t="e">
        <f>'FORM I1 SUB STD NORMAL'!O57+#REF!</f>
        <v>#REF!</v>
      </c>
      <c r="I67" s="887" t="e">
        <f>'FORM I1 SUB STD NORMAL'!P57+#REF!</f>
        <v>#REF!</v>
      </c>
      <c r="J67" s="887"/>
      <c r="O67" s="332"/>
      <c r="P67" s="332"/>
    </row>
    <row r="68" spans="8:16" x14ac:dyDescent="0.25">
      <c r="I68" s="886"/>
      <c r="J68" s="886"/>
      <c r="O68" s="332"/>
      <c r="P68" s="332"/>
    </row>
    <row r="69" spans="8:16" x14ac:dyDescent="0.25">
      <c r="O69" s="332"/>
      <c r="P69" s="332"/>
    </row>
    <row r="70" spans="8:16" x14ac:dyDescent="0.25">
      <c r="O70" s="332"/>
      <c r="P70" s="332"/>
    </row>
    <row r="71" spans="8:16" x14ac:dyDescent="0.25">
      <c r="O71" s="332"/>
      <c r="P71" s="332"/>
    </row>
    <row r="72" spans="8:16" x14ac:dyDescent="0.25">
      <c r="O72" s="332"/>
      <c r="P72" s="332"/>
    </row>
    <row r="73" spans="8:16" x14ac:dyDescent="0.25">
      <c r="O73" s="332"/>
      <c r="P73" s="332"/>
    </row>
    <row r="74" spans="8:16" x14ac:dyDescent="0.25">
      <c r="O74" s="332"/>
      <c r="P74" s="332"/>
    </row>
    <row r="75" spans="8:16" x14ac:dyDescent="0.25">
      <c r="O75" s="332"/>
      <c r="P75" s="332"/>
    </row>
    <row r="76" spans="8:16" x14ac:dyDescent="0.25">
      <c r="O76" s="332"/>
      <c r="P76" s="332"/>
    </row>
    <row r="77" spans="8:16" x14ac:dyDescent="0.25">
      <c r="O77" s="332"/>
      <c r="P77" s="332"/>
    </row>
    <row r="78" spans="8:16" x14ac:dyDescent="0.25">
      <c r="O78" s="332"/>
      <c r="P78" s="332"/>
    </row>
    <row r="79" spans="8:16" x14ac:dyDescent="0.25">
      <c r="O79" s="332"/>
      <c r="P79" s="332"/>
    </row>
    <row r="80" spans="8:16" x14ac:dyDescent="0.25">
      <c r="O80" s="332"/>
      <c r="P80" s="332"/>
    </row>
    <row r="81" spans="15:16" x14ac:dyDescent="0.25">
      <c r="O81" s="332"/>
      <c r="P81" s="332"/>
    </row>
    <row r="82" spans="15:16" x14ac:dyDescent="0.25">
      <c r="O82" s="332"/>
      <c r="P82" s="332"/>
    </row>
    <row r="83" spans="15:16" x14ac:dyDescent="0.25">
      <c r="O83" s="332"/>
      <c r="P83" s="332"/>
    </row>
    <row r="84" spans="15:16" x14ac:dyDescent="0.25">
      <c r="O84" s="332"/>
      <c r="P84" s="332"/>
    </row>
    <row r="85" spans="15:16" x14ac:dyDescent="0.25">
      <c r="O85" s="332"/>
      <c r="P85" s="332"/>
    </row>
    <row r="86" spans="15:16" x14ac:dyDescent="0.25">
      <c r="O86" s="332"/>
      <c r="P86" s="332"/>
    </row>
    <row r="87" spans="15:16" x14ac:dyDescent="0.25">
      <c r="O87" s="332"/>
      <c r="P87" s="332"/>
    </row>
    <row r="88" spans="15:16" x14ac:dyDescent="0.25">
      <c r="O88" s="332"/>
      <c r="P88" s="332"/>
    </row>
    <row r="89" spans="15:16" x14ac:dyDescent="0.25">
      <c r="O89" s="332"/>
      <c r="P89" s="332"/>
    </row>
    <row r="90" spans="15:16" x14ac:dyDescent="0.25">
      <c r="O90" s="332"/>
      <c r="P90" s="332"/>
    </row>
    <row r="91" spans="15:16" x14ac:dyDescent="0.25">
      <c r="O91" s="332"/>
      <c r="P91" s="332"/>
    </row>
    <row r="92" spans="15:16" x14ac:dyDescent="0.25">
      <c r="O92" s="332"/>
      <c r="P92" s="332"/>
    </row>
    <row r="93" spans="15:16" x14ac:dyDescent="0.25">
      <c r="O93" s="332"/>
      <c r="P93" s="332"/>
    </row>
    <row r="94" spans="15:16" x14ac:dyDescent="0.25">
      <c r="O94" s="332"/>
      <c r="P94" s="332"/>
    </row>
    <row r="95" spans="15:16" x14ac:dyDescent="0.25">
      <c r="O95" s="332"/>
      <c r="P95" s="332"/>
    </row>
    <row r="96" spans="15:16" x14ac:dyDescent="0.25">
      <c r="O96" s="332"/>
      <c r="P96" s="332"/>
    </row>
    <row r="97" spans="15:16" x14ac:dyDescent="0.25">
      <c r="O97" s="332"/>
      <c r="P97" s="332"/>
    </row>
    <row r="98" spans="15:16" x14ac:dyDescent="0.25">
      <c r="O98" s="332"/>
      <c r="P98" s="332"/>
    </row>
    <row r="99" spans="15:16" x14ac:dyDescent="0.25">
      <c r="O99" s="332"/>
      <c r="P99" s="332"/>
    </row>
    <row r="100" spans="15:16" x14ac:dyDescent="0.25">
      <c r="O100" s="332"/>
      <c r="P100" s="332"/>
    </row>
    <row r="101" spans="15:16" x14ac:dyDescent="0.25">
      <c r="O101" s="332"/>
      <c r="P101" s="332"/>
    </row>
    <row r="102" spans="15:16" x14ac:dyDescent="0.25">
      <c r="O102" s="332"/>
      <c r="P102" s="332"/>
    </row>
    <row r="103" spans="15:16" x14ac:dyDescent="0.25">
      <c r="O103" s="332"/>
      <c r="P103" s="332"/>
    </row>
    <row r="104" spans="15:16" x14ac:dyDescent="0.25">
      <c r="O104" s="332"/>
      <c r="P104" s="332"/>
    </row>
    <row r="105" spans="15:16" x14ac:dyDescent="0.25">
      <c r="O105" s="332"/>
      <c r="P105" s="332"/>
    </row>
    <row r="106" spans="15:16" x14ac:dyDescent="0.25">
      <c r="O106" s="332"/>
      <c r="P106" s="332"/>
    </row>
    <row r="107" spans="15:16" x14ac:dyDescent="0.25">
      <c r="O107" s="332"/>
      <c r="P107" s="332"/>
    </row>
    <row r="108" spans="15:16" x14ac:dyDescent="0.25">
      <c r="O108" s="332"/>
      <c r="P108" s="332"/>
    </row>
    <row r="109" spans="15:16" x14ac:dyDescent="0.25">
      <c r="O109" s="332"/>
      <c r="P109" s="332"/>
    </row>
    <row r="110" spans="15:16" x14ac:dyDescent="0.25">
      <c r="O110" s="332"/>
      <c r="P110" s="332"/>
    </row>
    <row r="111" spans="15:16" x14ac:dyDescent="0.25">
      <c r="O111" s="332"/>
      <c r="P111" s="332"/>
    </row>
    <row r="112" spans="15:16" x14ac:dyDescent="0.25">
      <c r="O112" s="332"/>
      <c r="P112" s="332"/>
    </row>
    <row r="113" spans="15:16" x14ac:dyDescent="0.25">
      <c r="O113" s="332"/>
      <c r="P113" s="332"/>
    </row>
    <row r="114" spans="15:16" x14ac:dyDescent="0.25">
      <c r="O114" s="332"/>
      <c r="P114" s="332"/>
    </row>
    <row r="115" spans="15:16" x14ac:dyDescent="0.25">
      <c r="O115" s="332"/>
      <c r="P115" s="332"/>
    </row>
    <row r="116" spans="15:16" x14ac:dyDescent="0.25">
      <c r="O116" s="332"/>
      <c r="P116" s="332"/>
    </row>
    <row r="117" spans="15:16" x14ac:dyDescent="0.25">
      <c r="O117" s="332"/>
      <c r="P117" s="332"/>
    </row>
    <row r="118" spans="15:16" x14ac:dyDescent="0.25">
      <c r="O118" s="332"/>
      <c r="P118" s="332"/>
    </row>
    <row r="119" spans="15:16" x14ac:dyDescent="0.25">
      <c r="O119" s="332"/>
      <c r="P119" s="332"/>
    </row>
    <row r="120" spans="15:16" x14ac:dyDescent="0.25">
      <c r="O120" s="332"/>
      <c r="P120" s="332"/>
    </row>
    <row r="121" spans="15:16" x14ac:dyDescent="0.25">
      <c r="O121" s="332"/>
      <c r="P121" s="332"/>
    </row>
    <row r="122" spans="15:16" x14ac:dyDescent="0.25">
      <c r="O122" s="332"/>
      <c r="P122" s="332"/>
    </row>
    <row r="123" spans="15:16" x14ac:dyDescent="0.25">
      <c r="O123" s="332"/>
      <c r="P123" s="332"/>
    </row>
    <row r="124" spans="15:16" x14ac:dyDescent="0.25">
      <c r="O124" s="332"/>
      <c r="P124" s="332"/>
    </row>
    <row r="125" spans="15:16" x14ac:dyDescent="0.25">
      <c r="O125" s="332"/>
      <c r="P125" s="332"/>
    </row>
    <row r="126" spans="15:16" x14ac:dyDescent="0.25">
      <c r="O126" s="332"/>
      <c r="P126" s="332"/>
    </row>
    <row r="127" spans="15:16" x14ac:dyDescent="0.25">
      <c r="O127" s="332"/>
      <c r="P127" s="332"/>
    </row>
    <row r="128" spans="15:16" x14ac:dyDescent="0.25">
      <c r="O128" s="332"/>
      <c r="P128" s="332"/>
    </row>
    <row r="129" spans="15:16" x14ac:dyDescent="0.25">
      <c r="O129" s="332"/>
      <c r="P129" s="332"/>
    </row>
    <row r="130" spans="15:16" x14ac:dyDescent="0.25">
      <c r="O130" s="332"/>
      <c r="P130" s="332"/>
    </row>
    <row r="131" spans="15:16" x14ac:dyDescent="0.25">
      <c r="O131" s="332"/>
      <c r="P131" s="332"/>
    </row>
    <row r="132" spans="15:16" x14ac:dyDescent="0.25">
      <c r="O132" s="332"/>
      <c r="P132" s="332"/>
    </row>
    <row r="133" spans="15:16" x14ac:dyDescent="0.25">
      <c r="O133" s="332"/>
      <c r="P133" s="332"/>
    </row>
    <row r="134" spans="15:16" x14ac:dyDescent="0.25">
      <c r="O134" s="332"/>
      <c r="P134" s="332"/>
    </row>
    <row r="135" spans="15:16" x14ac:dyDescent="0.25">
      <c r="O135" s="332"/>
      <c r="P135" s="332"/>
    </row>
    <row r="136" spans="15:16" x14ac:dyDescent="0.25">
      <c r="O136" s="332"/>
      <c r="P136" s="332"/>
    </row>
    <row r="137" spans="15:16" x14ac:dyDescent="0.25">
      <c r="O137" s="332"/>
      <c r="P137" s="332"/>
    </row>
    <row r="138" spans="15:16" x14ac:dyDescent="0.25">
      <c r="O138" s="332"/>
      <c r="P138" s="332"/>
    </row>
    <row r="139" spans="15:16" x14ac:dyDescent="0.25">
      <c r="O139" s="332"/>
      <c r="P139" s="332"/>
    </row>
    <row r="140" spans="15:16" x14ac:dyDescent="0.25">
      <c r="O140" s="332"/>
      <c r="P140" s="332"/>
    </row>
    <row r="141" spans="15:16" x14ac:dyDescent="0.25">
      <c r="O141" s="332"/>
      <c r="P141" s="332"/>
    </row>
    <row r="142" spans="15:16" x14ac:dyDescent="0.25">
      <c r="O142" s="332"/>
      <c r="P142" s="332"/>
    </row>
    <row r="143" spans="15:16" x14ac:dyDescent="0.25">
      <c r="O143" s="332"/>
      <c r="P143" s="332"/>
    </row>
    <row r="144" spans="15:16" x14ac:dyDescent="0.25">
      <c r="O144" s="332"/>
      <c r="P144" s="332"/>
    </row>
    <row r="145" spans="15:16" x14ac:dyDescent="0.25">
      <c r="O145" s="332"/>
      <c r="P145" s="332"/>
    </row>
    <row r="146" spans="15:16" x14ac:dyDescent="0.25">
      <c r="O146" s="332"/>
      <c r="P146" s="332"/>
    </row>
    <row r="147" spans="15:16" x14ac:dyDescent="0.25">
      <c r="O147" s="332"/>
      <c r="P147" s="332"/>
    </row>
    <row r="148" spans="15:16" x14ac:dyDescent="0.25">
      <c r="O148" s="332"/>
      <c r="P148" s="332"/>
    </row>
    <row r="149" spans="15:16" x14ac:dyDescent="0.25">
      <c r="O149" s="332"/>
      <c r="P149" s="332"/>
    </row>
    <row r="150" spans="15:16" x14ac:dyDescent="0.25">
      <c r="O150" s="332"/>
      <c r="P150" s="332"/>
    </row>
    <row r="151" spans="15:16" x14ac:dyDescent="0.25">
      <c r="O151" s="332"/>
      <c r="P151" s="332"/>
    </row>
    <row r="152" spans="15:16" x14ac:dyDescent="0.25">
      <c r="O152" s="332"/>
      <c r="P152" s="332"/>
    </row>
    <row r="153" spans="15:16" x14ac:dyDescent="0.25">
      <c r="O153" s="332"/>
      <c r="P153" s="332"/>
    </row>
    <row r="154" spans="15:16" x14ac:dyDescent="0.25">
      <c r="O154" s="332"/>
      <c r="P154" s="332"/>
    </row>
    <row r="155" spans="15:16" x14ac:dyDescent="0.25">
      <c r="O155" s="332"/>
      <c r="P155" s="332"/>
    </row>
    <row r="156" spans="15:16" x14ac:dyDescent="0.25">
      <c r="O156" s="332"/>
      <c r="P156" s="332"/>
    </row>
    <row r="157" spans="15:16" x14ac:dyDescent="0.25">
      <c r="O157" s="332"/>
      <c r="P157" s="332"/>
    </row>
    <row r="158" spans="15:16" x14ac:dyDescent="0.25">
      <c r="O158" s="332"/>
      <c r="P158" s="332"/>
    </row>
    <row r="159" spans="15:16" x14ac:dyDescent="0.25">
      <c r="O159" s="332"/>
      <c r="P159" s="332"/>
    </row>
    <row r="160" spans="15:16" x14ac:dyDescent="0.25">
      <c r="O160" s="332"/>
      <c r="P160" s="332"/>
    </row>
    <row r="161" spans="15:16" x14ac:dyDescent="0.25">
      <c r="O161" s="332"/>
      <c r="P161" s="332"/>
    </row>
    <row r="162" spans="15:16" x14ac:dyDescent="0.25">
      <c r="O162" s="332"/>
      <c r="P162" s="332"/>
    </row>
    <row r="163" spans="15:16" x14ac:dyDescent="0.25">
      <c r="O163" s="332"/>
      <c r="P163" s="332"/>
    </row>
    <row r="164" spans="15:16" x14ac:dyDescent="0.25">
      <c r="O164" s="332"/>
      <c r="P164" s="332"/>
    </row>
    <row r="165" spans="15:16" x14ac:dyDescent="0.25">
      <c r="O165" s="332"/>
      <c r="P165" s="332"/>
    </row>
    <row r="166" spans="15:16" x14ac:dyDescent="0.25">
      <c r="O166" s="332"/>
      <c r="P166" s="332"/>
    </row>
    <row r="167" spans="15:16" x14ac:dyDescent="0.25">
      <c r="O167" s="332"/>
      <c r="P167" s="332"/>
    </row>
    <row r="168" spans="15:16" x14ac:dyDescent="0.25">
      <c r="O168" s="332"/>
      <c r="P168" s="332"/>
    </row>
    <row r="169" spans="15:16" x14ac:dyDescent="0.25">
      <c r="O169" s="332"/>
      <c r="P169" s="332"/>
    </row>
    <row r="170" spans="15:16" x14ac:dyDescent="0.25">
      <c r="O170" s="332"/>
      <c r="P170" s="332"/>
    </row>
    <row r="171" spans="15:16" x14ac:dyDescent="0.25">
      <c r="O171" s="332"/>
      <c r="P171" s="332"/>
    </row>
    <row r="172" spans="15:16" x14ac:dyDescent="0.25">
      <c r="O172" s="332"/>
      <c r="P172" s="332"/>
    </row>
    <row r="173" spans="15:16" x14ac:dyDescent="0.25">
      <c r="O173" s="332"/>
      <c r="P173" s="332"/>
    </row>
    <row r="174" spans="15:16" x14ac:dyDescent="0.25">
      <c r="O174" s="332"/>
      <c r="P174" s="332"/>
    </row>
    <row r="175" spans="15:16" x14ac:dyDescent="0.25">
      <c r="O175" s="332"/>
      <c r="P175" s="332"/>
    </row>
    <row r="176" spans="15:16" x14ac:dyDescent="0.25">
      <c r="O176" s="332"/>
      <c r="P176" s="332"/>
    </row>
    <row r="177" spans="15:16" x14ac:dyDescent="0.25">
      <c r="O177" s="332"/>
      <c r="P177" s="332"/>
    </row>
    <row r="178" spans="15:16" x14ac:dyDescent="0.25">
      <c r="O178" s="332"/>
      <c r="P178" s="332"/>
    </row>
    <row r="179" spans="15:16" x14ac:dyDescent="0.25">
      <c r="O179" s="332"/>
      <c r="P179" s="332"/>
    </row>
    <row r="180" spans="15:16" x14ac:dyDescent="0.25">
      <c r="O180" s="332"/>
      <c r="P180" s="332"/>
    </row>
    <row r="181" spans="15:16" x14ac:dyDescent="0.25">
      <c r="O181" s="332"/>
      <c r="P181" s="332"/>
    </row>
    <row r="182" spans="15:16" x14ac:dyDescent="0.25">
      <c r="O182" s="332"/>
      <c r="P182" s="332"/>
    </row>
    <row r="183" spans="15:16" x14ac:dyDescent="0.25">
      <c r="O183" s="332"/>
      <c r="P183" s="332"/>
    </row>
    <row r="184" spans="15:16" x14ac:dyDescent="0.25">
      <c r="O184" s="332"/>
      <c r="P184" s="332"/>
    </row>
    <row r="185" spans="15:16" x14ac:dyDescent="0.25">
      <c r="O185" s="332"/>
      <c r="P185" s="332"/>
    </row>
    <row r="186" spans="15:16" x14ac:dyDescent="0.25">
      <c r="O186" s="332"/>
      <c r="P186" s="332"/>
    </row>
    <row r="187" spans="15:16" x14ac:dyDescent="0.25">
      <c r="O187" s="332"/>
      <c r="P187" s="332"/>
    </row>
    <row r="188" spans="15:16" x14ac:dyDescent="0.25">
      <c r="O188" s="332"/>
      <c r="P188" s="332"/>
    </row>
    <row r="189" spans="15:16" x14ac:dyDescent="0.25">
      <c r="O189" s="332"/>
      <c r="P189" s="332"/>
    </row>
    <row r="190" spans="15:16" x14ac:dyDescent="0.25">
      <c r="O190" s="332"/>
      <c r="P190" s="332"/>
    </row>
    <row r="191" spans="15:16" x14ac:dyDescent="0.25">
      <c r="O191" s="332"/>
      <c r="P191" s="332"/>
    </row>
    <row r="192" spans="15:16" x14ac:dyDescent="0.25">
      <c r="O192" s="332"/>
      <c r="P192" s="332"/>
    </row>
    <row r="193" spans="4:16" x14ac:dyDescent="0.25">
      <c r="O193" s="332"/>
      <c r="P193" s="332"/>
    </row>
    <row r="194" spans="4:16" x14ac:dyDescent="0.25">
      <c r="O194" s="332"/>
      <c r="P194" s="332"/>
    </row>
    <row r="195" spans="4:16" x14ac:dyDescent="0.25">
      <c r="O195" s="332"/>
      <c r="P195" s="332"/>
    </row>
    <row r="196" spans="4:16" x14ac:dyDescent="0.25">
      <c r="O196" s="332"/>
      <c r="P196" s="332"/>
    </row>
    <row r="197" spans="4:16" x14ac:dyDescent="0.25">
      <c r="O197" s="332"/>
      <c r="P197" s="332"/>
    </row>
    <row r="198" spans="4:16" x14ac:dyDescent="0.25">
      <c r="O198" s="332"/>
      <c r="P198" s="332"/>
    </row>
    <row r="199" spans="4:16" x14ac:dyDescent="0.25">
      <c r="D199" t="s">
        <v>37</v>
      </c>
      <c r="O199" s="332"/>
      <c r="P199" s="332"/>
    </row>
    <row r="200" spans="4:16" x14ac:dyDescent="0.25">
      <c r="O200" s="332"/>
      <c r="P200" s="332"/>
    </row>
    <row r="201" spans="4:16" x14ac:dyDescent="0.25">
      <c r="O201" s="332"/>
      <c r="P201" s="332"/>
    </row>
    <row r="202" spans="4:16" x14ac:dyDescent="0.25">
      <c r="O202" s="332"/>
      <c r="P202" s="332"/>
    </row>
    <row r="203" spans="4:16" x14ac:dyDescent="0.25">
      <c r="O203" s="332"/>
      <c r="P203" s="332"/>
    </row>
    <row r="204" spans="4:16" x14ac:dyDescent="0.25">
      <c r="O204" s="332"/>
      <c r="P204" s="332"/>
    </row>
    <row r="205" spans="4:16" x14ac:dyDescent="0.25">
      <c r="O205" s="332"/>
      <c r="P205" s="332"/>
    </row>
    <row r="206" spans="4:16" x14ac:dyDescent="0.25">
      <c r="O206" s="332"/>
      <c r="P206" s="332"/>
    </row>
    <row r="207" spans="4:16" x14ac:dyDescent="0.25">
      <c r="O207" s="332"/>
      <c r="P207" s="332"/>
    </row>
    <row r="208" spans="4:16" x14ac:dyDescent="0.25">
      <c r="O208" s="332"/>
      <c r="P208" s="332"/>
    </row>
    <row r="209" spans="15:16" x14ac:dyDescent="0.25">
      <c r="O209" s="332"/>
      <c r="P209" s="332"/>
    </row>
    <row r="210" spans="15:16" x14ac:dyDescent="0.25">
      <c r="O210" s="332"/>
      <c r="P210" s="332"/>
    </row>
    <row r="211" spans="15:16" x14ac:dyDescent="0.25">
      <c r="O211" s="332"/>
      <c r="P211" s="332"/>
    </row>
    <row r="212" spans="15:16" x14ac:dyDescent="0.25">
      <c r="O212" s="332"/>
      <c r="P212" s="332"/>
    </row>
    <row r="213" spans="15:16" x14ac:dyDescent="0.25">
      <c r="O213" s="332"/>
      <c r="P213" s="332"/>
    </row>
    <row r="214" spans="15:16" x14ac:dyDescent="0.25">
      <c r="O214" s="332"/>
      <c r="P214" s="332"/>
    </row>
    <row r="215" spans="15:16" x14ac:dyDescent="0.25">
      <c r="O215" s="332"/>
      <c r="P215" s="332"/>
    </row>
    <row r="216" spans="15:16" x14ac:dyDescent="0.25">
      <c r="O216" s="332"/>
      <c r="P216" s="332"/>
    </row>
    <row r="217" spans="15:16" x14ac:dyDescent="0.25">
      <c r="O217" s="332"/>
      <c r="P217" s="332"/>
    </row>
    <row r="218" spans="15:16" x14ac:dyDescent="0.25">
      <c r="O218" s="332"/>
      <c r="P218" s="332"/>
    </row>
    <row r="219" spans="15:16" x14ac:dyDescent="0.25">
      <c r="O219" s="332"/>
      <c r="P219" s="332"/>
    </row>
    <row r="220" spans="15:16" x14ac:dyDescent="0.25">
      <c r="O220" s="332"/>
      <c r="P220" s="332"/>
    </row>
    <row r="221" spans="15:16" x14ac:dyDescent="0.25">
      <c r="O221" s="332"/>
      <c r="P221" s="332"/>
    </row>
    <row r="222" spans="15:16" x14ac:dyDescent="0.25">
      <c r="O222" s="332"/>
      <c r="P222" s="332"/>
    </row>
    <row r="223" spans="15:16" x14ac:dyDescent="0.25">
      <c r="O223" s="332"/>
      <c r="P223" s="332"/>
    </row>
    <row r="224" spans="15:16" x14ac:dyDescent="0.25">
      <c r="O224" s="332"/>
      <c r="P224" s="332"/>
    </row>
    <row r="225" spans="15:16" x14ac:dyDescent="0.25">
      <c r="O225" s="332"/>
      <c r="P225" s="332"/>
    </row>
    <row r="226" spans="15:16" x14ac:dyDescent="0.25">
      <c r="O226" s="332"/>
      <c r="P226" s="332"/>
    </row>
    <row r="227" spans="15:16" x14ac:dyDescent="0.25">
      <c r="O227" s="332"/>
      <c r="P227" s="332"/>
    </row>
    <row r="228" spans="15:16" x14ac:dyDescent="0.25">
      <c r="O228" s="332"/>
      <c r="P228" s="332"/>
    </row>
    <row r="229" spans="15:16" x14ac:dyDescent="0.25">
      <c r="O229" s="332"/>
      <c r="P229" s="332"/>
    </row>
    <row r="230" spans="15:16" x14ac:dyDescent="0.25">
      <c r="O230" s="332"/>
      <c r="P230" s="332"/>
    </row>
    <row r="231" spans="15:16" x14ac:dyDescent="0.25">
      <c r="O231" s="332"/>
      <c r="P231" s="332"/>
    </row>
    <row r="232" spans="15:16" x14ac:dyDescent="0.25">
      <c r="O232" s="332"/>
      <c r="P232" s="332"/>
    </row>
    <row r="233" spans="15:16" x14ac:dyDescent="0.25">
      <c r="O233" s="332"/>
      <c r="P233" s="332"/>
    </row>
    <row r="234" spans="15:16" x14ac:dyDescent="0.25">
      <c r="O234" s="332"/>
      <c r="P234" s="332"/>
    </row>
    <row r="235" spans="15:16" x14ac:dyDescent="0.25">
      <c r="O235" s="332"/>
      <c r="P235" s="332"/>
    </row>
    <row r="236" spans="15:16" x14ac:dyDescent="0.25">
      <c r="O236" s="332"/>
      <c r="P236" s="332"/>
    </row>
    <row r="237" spans="15:16" x14ac:dyDescent="0.25">
      <c r="O237" s="332"/>
      <c r="P237" s="332"/>
    </row>
    <row r="238" spans="15:16" x14ac:dyDescent="0.25">
      <c r="O238" s="332"/>
      <c r="P238" s="332"/>
    </row>
    <row r="239" spans="15:16" x14ac:dyDescent="0.25">
      <c r="O239" s="332"/>
      <c r="P239" s="332"/>
    </row>
    <row r="240" spans="15:16" x14ac:dyDescent="0.25">
      <c r="O240" s="332"/>
      <c r="P240" s="332"/>
    </row>
    <row r="241" spans="15:16" x14ac:dyDescent="0.25">
      <c r="O241" s="332"/>
      <c r="P241" s="332"/>
    </row>
    <row r="242" spans="15:16" x14ac:dyDescent="0.25">
      <c r="O242" s="332"/>
      <c r="P242" s="332"/>
    </row>
    <row r="243" spans="15:16" x14ac:dyDescent="0.25">
      <c r="O243" s="332"/>
      <c r="P243" s="332"/>
    </row>
    <row r="244" spans="15:16" x14ac:dyDescent="0.25">
      <c r="O244" s="332"/>
      <c r="P244" s="332"/>
    </row>
    <row r="245" spans="15:16" x14ac:dyDescent="0.25">
      <c r="O245" s="332"/>
      <c r="P245" s="332"/>
    </row>
    <row r="246" spans="15:16" x14ac:dyDescent="0.25">
      <c r="O246" s="332"/>
      <c r="P246" s="332"/>
    </row>
    <row r="247" spans="15:16" x14ac:dyDescent="0.25">
      <c r="O247" s="332"/>
      <c r="P247" s="332"/>
    </row>
    <row r="248" spans="15:16" x14ac:dyDescent="0.25">
      <c r="O248" s="332"/>
      <c r="P248" s="332"/>
    </row>
    <row r="249" spans="15:16" x14ac:dyDescent="0.25">
      <c r="O249" s="332"/>
      <c r="P249" s="332"/>
    </row>
    <row r="250" spans="15:16" x14ac:dyDescent="0.25">
      <c r="O250" s="332"/>
      <c r="P250" s="332"/>
    </row>
    <row r="251" spans="15:16" x14ac:dyDescent="0.25">
      <c r="O251" s="332"/>
      <c r="P251" s="332"/>
    </row>
    <row r="252" spans="15:16" x14ac:dyDescent="0.25">
      <c r="O252" s="332"/>
      <c r="P252" s="332"/>
    </row>
    <row r="253" spans="15:16" x14ac:dyDescent="0.25">
      <c r="O253" s="332"/>
      <c r="P253" s="332"/>
    </row>
    <row r="254" spans="15:16" x14ac:dyDescent="0.25">
      <c r="O254" s="332"/>
      <c r="P254" s="332"/>
    </row>
    <row r="255" spans="15:16" x14ac:dyDescent="0.25">
      <c r="O255" s="332"/>
      <c r="P255" s="332"/>
    </row>
    <row r="256" spans="15:16" x14ac:dyDescent="0.25">
      <c r="O256" s="332"/>
      <c r="P256" s="332"/>
    </row>
    <row r="257" spans="15:16" x14ac:dyDescent="0.25">
      <c r="O257" s="332"/>
      <c r="P257" s="332"/>
    </row>
    <row r="258" spans="15:16" x14ac:dyDescent="0.25">
      <c r="O258" s="332"/>
      <c r="P258" s="332"/>
    </row>
    <row r="259" spans="15:16" x14ac:dyDescent="0.25">
      <c r="O259" s="332"/>
      <c r="P259" s="332"/>
    </row>
    <row r="260" spans="15:16" x14ac:dyDescent="0.25">
      <c r="O260" s="332"/>
      <c r="P260" s="332"/>
    </row>
    <row r="261" spans="15:16" x14ac:dyDescent="0.25">
      <c r="O261" s="332"/>
      <c r="P261" s="332"/>
    </row>
    <row r="262" spans="15:16" x14ac:dyDescent="0.25">
      <c r="O262" s="332"/>
      <c r="P262" s="332"/>
    </row>
    <row r="263" spans="15:16" x14ac:dyDescent="0.25">
      <c r="O263" s="332"/>
      <c r="P263" s="332"/>
    </row>
    <row r="264" spans="15:16" x14ac:dyDescent="0.25">
      <c r="O264" s="332"/>
      <c r="P264" s="332"/>
    </row>
    <row r="265" spans="15:16" x14ac:dyDescent="0.25">
      <c r="O265" s="332"/>
      <c r="P265" s="332"/>
    </row>
    <row r="266" spans="15:16" x14ac:dyDescent="0.25">
      <c r="O266" s="332"/>
      <c r="P266" s="332"/>
    </row>
    <row r="267" spans="15:16" x14ac:dyDescent="0.25">
      <c r="O267" s="332"/>
      <c r="P267" s="332"/>
    </row>
    <row r="268" spans="15:16" x14ac:dyDescent="0.25">
      <c r="O268" s="332"/>
      <c r="P268" s="332"/>
    </row>
    <row r="269" spans="15:16" x14ac:dyDescent="0.25">
      <c r="O269" s="332"/>
      <c r="P269" s="332"/>
    </row>
    <row r="270" spans="15:16" x14ac:dyDescent="0.25">
      <c r="O270" s="332"/>
      <c r="P270" s="332"/>
    </row>
    <row r="271" spans="15:16" x14ac:dyDescent="0.25">
      <c r="O271" s="332"/>
      <c r="P271" s="332"/>
    </row>
    <row r="272" spans="15:16" x14ac:dyDescent="0.25">
      <c r="O272" s="332"/>
      <c r="P272" s="332"/>
    </row>
    <row r="273" spans="15:16" x14ac:dyDescent="0.25">
      <c r="O273" s="332"/>
      <c r="P273" s="332"/>
    </row>
    <row r="274" spans="15:16" x14ac:dyDescent="0.25">
      <c r="O274" s="332"/>
      <c r="P274" s="332"/>
    </row>
    <row r="275" spans="15:16" x14ac:dyDescent="0.25">
      <c r="O275" s="332"/>
      <c r="P275" s="332"/>
    </row>
    <row r="276" spans="15:16" x14ac:dyDescent="0.25">
      <c r="O276" s="332"/>
      <c r="P276" s="332"/>
    </row>
    <row r="277" spans="15:16" x14ac:dyDescent="0.25">
      <c r="O277" s="332"/>
      <c r="P277" s="332"/>
    </row>
    <row r="278" spans="15:16" x14ac:dyDescent="0.25">
      <c r="O278" s="332"/>
      <c r="P278" s="332"/>
    </row>
    <row r="279" spans="15:16" x14ac:dyDescent="0.25">
      <c r="O279" s="332"/>
      <c r="P279" s="332"/>
    </row>
    <row r="280" spans="15:16" x14ac:dyDescent="0.25">
      <c r="O280" s="332"/>
      <c r="P280" s="332"/>
    </row>
    <row r="281" spans="15:16" x14ac:dyDescent="0.25">
      <c r="O281" s="332"/>
      <c r="P281" s="332"/>
    </row>
    <row r="282" spans="15:16" x14ac:dyDescent="0.25">
      <c r="O282" s="332"/>
      <c r="P282" s="332"/>
    </row>
    <row r="283" spans="15:16" x14ac:dyDescent="0.25">
      <c r="O283" s="332"/>
      <c r="P283" s="332"/>
    </row>
    <row r="284" spans="15:16" x14ac:dyDescent="0.25">
      <c r="O284" s="332"/>
      <c r="P284" s="332"/>
    </row>
    <row r="285" spans="15:16" x14ac:dyDescent="0.25">
      <c r="O285" s="332"/>
      <c r="P285" s="332"/>
    </row>
    <row r="286" spans="15:16" x14ac:dyDescent="0.25">
      <c r="O286" s="332"/>
      <c r="P286" s="332"/>
    </row>
    <row r="287" spans="15:16" x14ac:dyDescent="0.25">
      <c r="O287" s="332"/>
      <c r="P287" s="332"/>
    </row>
    <row r="288" spans="15:16" x14ac:dyDescent="0.25">
      <c r="O288" s="332"/>
      <c r="P288" s="332"/>
    </row>
    <row r="289" spans="15:16" x14ac:dyDescent="0.25">
      <c r="O289" s="332"/>
      <c r="P289" s="332"/>
    </row>
    <row r="290" spans="15:16" x14ac:dyDescent="0.25">
      <c r="O290" s="332"/>
      <c r="P290" s="332"/>
    </row>
    <row r="291" spans="15:16" x14ac:dyDescent="0.25">
      <c r="O291" s="332"/>
      <c r="P291" s="332"/>
    </row>
    <row r="292" spans="15:16" x14ac:dyDescent="0.25">
      <c r="O292" s="332"/>
      <c r="P292" s="332"/>
    </row>
    <row r="293" spans="15:16" x14ac:dyDescent="0.25">
      <c r="O293" s="332"/>
      <c r="P293" s="332"/>
    </row>
    <row r="294" spans="15:16" x14ac:dyDescent="0.25">
      <c r="O294" s="332"/>
      <c r="P294" s="332"/>
    </row>
    <row r="295" spans="15:16" x14ac:dyDescent="0.25">
      <c r="O295" s="332"/>
      <c r="P295" s="332"/>
    </row>
    <row r="296" spans="15:16" x14ac:dyDescent="0.25">
      <c r="O296" s="332"/>
      <c r="P296" s="332"/>
    </row>
    <row r="297" spans="15:16" x14ac:dyDescent="0.25">
      <c r="O297" s="332"/>
      <c r="P297" s="332"/>
    </row>
    <row r="298" spans="15:16" x14ac:dyDescent="0.25">
      <c r="O298" s="332"/>
      <c r="P298" s="332"/>
    </row>
    <row r="299" spans="15:16" x14ac:dyDescent="0.25">
      <c r="O299" s="332"/>
      <c r="P299" s="332"/>
    </row>
    <row r="300" spans="15:16" x14ac:dyDescent="0.25">
      <c r="O300" s="332"/>
      <c r="P300" s="332"/>
    </row>
    <row r="301" spans="15:16" x14ac:dyDescent="0.25">
      <c r="O301" s="332"/>
      <c r="P301" s="332"/>
    </row>
    <row r="302" spans="15:16" x14ac:dyDescent="0.25">
      <c r="O302" s="332"/>
      <c r="P302" s="332"/>
    </row>
    <row r="303" spans="15:16" x14ac:dyDescent="0.25">
      <c r="O303" s="332"/>
      <c r="P303" s="332"/>
    </row>
    <row r="304" spans="15:16" x14ac:dyDescent="0.25">
      <c r="O304" s="332"/>
      <c r="P304" s="332"/>
    </row>
    <row r="305" spans="15:16" x14ac:dyDescent="0.25">
      <c r="O305" s="332"/>
      <c r="P305" s="332"/>
    </row>
    <row r="306" spans="15:16" x14ac:dyDescent="0.25">
      <c r="O306" s="332"/>
      <c r="P306" s="332"/>
    </row>
    <row r="307" spans="15:16" x14ac:dyDescent="0.25">
      <c r="O307" s="332"/>
      <c r="P307" s="332"/>
    </row>
    <row r="308" spans="15:16" x14ac:dyDescent="0.25">
      <c r="O308" s="332"/>
      <c r="P308" s="332"/>
    </row>
    <row r="309" spans="15:16" x14ac:dyDescent="0.25">
      <c r="O309" s="332"/>
      <c r="P309" s="332"/>
    </row>
    <row r="310" spans="15:16" x14ac:dyDescent="0.25">
      <c r="O310" s="332"/>
      <c r="P310" s="332"/>
    </row>
    <row r="311" spans="15:16" x14ac:dyDescent="0.25">
      <c r="O311" s="332"/>
      <c r="P311" s="332"/>
    </row>
    <row r="312" spans="15:16" x14ac:dyDescent="0.25">
      <c r="O312" s="332"/>
      <c r="P312" s="332"/>
    </row>
    <row r="313" spans="15:16" x14ac:dyDescent="0.25">
      <c r="O313" s="332"/>
      <c r="P313" s="332"/>
    </row>
    <row r="314" spans="15:16" x14ac:dyDescent="0.25">
      <c r="O314" s="332"/>
      <c r="P314" s="332"/>
    </row>
    <row r="315" spans="15:16" x14ac:dyDescent="0.25">
      <c r="O315" s="332"/>
      <c r="P315" s="332"/>
    </row>
    <row r="316" spans="15:16" x14ac:dyDescent="0.25">
      <c r="O316" s="332"/>
      <c r="P316" s="332"/>
    </row>
    <row r="317" spans="15:16" x14ac:dyDescent="0.25">
      <c r="O317" s="332"/>
      <c r="P317" s="332"/>
    </row>
    <row r="318" spans="15:16" x14ac:dyDescent="0.25">
      <c r="O318" s="332"/>
      <c r="P318" s="332"/>
    </row>
    <row r="319" spans="15:16" x14ac:dyDescent="0.25">
      <c r="O319" s="332"/>
      <c r="P319" s="332"/>
    </row>
    <row r="320" spans="15:16" x14ac:dyDescent="0.25">
      <c r="O320" s="332"/>
      <c r="P320" s="332"/>
    </row>
    <row r="321" spans="15:16" x14ac:dyDescent="0.25">
      <c r="O321" s="332"/>
      <c r="P321" s="332"/>
    </row>
    <row r="322" spans="15:16" x14ac:dyDescent="0.25">
      <c r="O322" s="332"/>
      <c r="P322" s="332"/>
    </row>
    <row r="323" spans="15:16" x14ac:dyDescent="0.25">
      <c r="O323" s="332"/>
      <c r="P323" s="332"/>
    </row>
    <row r="324" spans="15:16" x14ac:dyDescent="0.25">
      <c r="O324" s="332"/>
      <c r="P324" s="332"/>
    </row>
    <row r="325" spans="15:16" x14ac:dyDescent="0.25">
      <c r="O325" s="332"/>
      <c r="P325" s="332"/>
    </row>
    <row r="326" spans="15:16" x14ac:dyDescent="0.25">
      <c r="O326" s="332"/>
      <c r="P326" s="332"/>
    </row>
    <row r="327" spans="15:16" x14ac:dyDescent="0.25">
      <c r="O327" s="332"/>
      <c r="P327" s="332"/>
    </row>
    <row r="328" spans="15:16" x14ac:dyDescent="0.25">
      <c r="O328" s="332"/>
      <c r="P328" s="332"/>
    </row>
    <row r="329" spans="15:16" x14ac:dyDescent="0.25">
      <c r="O329" s="332"/>
      <c r="P329" s="332"/>
    </row>
    <row r="330" spans="15:16" x14ac:dyDescent="0.25">
      <c r="O330" s="332"/>
      <c r="P330" s="332"/>
    </row>
    <row r="331" spans="15:16" x14ac:dyDescent="0.25">
      <c r="O331" s="332"/>
      <c r="P331" s="332"/>
    </row>
    <row r="332" spans="15:16" x14ac:dyDescent="0.25">
      <c r="O332" s="332"/>
      <c r="P332" s="332"/>
    </row>
    <row r="333" spans="15:16" x14ac:dyDescent="0.25">
      <c r="O333" s="332"/>
      <c r="P333" s="332"/>
    </row>
    <row r="334" spans="15:16" x14ac:dyDescent="0.25">
      <c r="O334" s="332"/>
      <c r="P334" s="332"/>
    </row>
    <row r="335" spans="15:16" x14ac:dyDescent="0.25">
      <c r="O335" s="332"/>
      <c r="P335" s="332"/>
    </row>
    <row r="336" spans="15:16" x14ac:dyDescent="0.25">
      <c r="O336" s="332"/>
      <c r="P336" s="332"/>
    </row>
    <row r="337" spans="15:16" x14ac:dyDescent="0.25">
      <c r="O337" s="332"/>
      <c r="P337" s="332"/>
    </row>
    <row r="338" spans="15:16" x14ac:dyDescent="0.25">
      <c r="O338" s="332"/>
      <c r="P338" s="332"/>
    </row>
    <row r="339" spans="15:16" x14ac:dyDescent="0.25">
      <c r="O339" s="332"/>
      <c r="P339" s="332"/>
    </row>
    <row r="340" spans="15:16" x14ac:dyDescent="0.25">
      <c r="O340" s="332"/>
      <c r="P340" s="332"/>
    </row>
    <row r="341" spans="15:16" x14ac:dyDescent="0.25">
      <c r="O341" s="332"/>
      <c r="P341" s="332"/>
    </row>
    <row r="342" spans="15:16" x14ac:dyDescent="0.25">
      <c r="O342" s="332"/>
      <c r="P342" s="332"/>
    </row>
    <row r="343" spans="15:16" x14ac:dyDescent="0.25">
      <c r="O343" s="332"/>
      <c r="P343" s="332"/>
    </row>
    <row r="344" spans="15:16" x14ac:dyDescent="0.25">
      <c r="O344" s="332"/>
      <c r="P344" s="332"/>
    </row>
    <row r="345" spans="15:16" x14ac:dyDescent="0.25">
      <c r="O345" s="332"/>
      <c r="P345" s="332"/>
    </row>
    <row r="346" spans="15:16" x14ac:dyDescent="0.25">
      <c r="O346" s="332"/>
      <c r="P346" s="332"/>
    </row>
    <row r="347" spans="15:16" x14ac:dyDescent="0.25">
      <c r="O347" s="332"/>
      <c r="P347" s="332"/>
    </row>
    <row r="348" spans="15:16" x14ac:dyDescent="0.25">
      <c r="O348" s="332"/>
      <c r="P348" s="332"/>
    </row>
    <row r="349" spans="15:16" x14ac:dyDescent="0.25">
      <c r="O349" s="332"/>
      <c r="P349" s="332"/>
    </row>
    <row r="350" spans="15:16" x14ac:dyDescent="0.25">
      <c r="O350" s="332"/>
      <c r="P350" s="332"/>
    </row>
    <row r="351" spans="15:16" x14ac:dyDescent="0.25">
      <c r="O351" s="332"/>
      <c r="P351" s="332"/>
    </row>
    <row r="352" spans="15:16" x14ac:dyDescent="0.25">
      <c r="O352" s="332"/>
      <c r="P352" s="332"/>
    </row>
    <row r="353" spans="15:16" x14ac:dyDescent="0.25">
      <c r="O353" s="332"/>
      <c r="P353" s="332"/>
    </row>
    <row r="354" spans="15:16" x14ac:dyDescent="0.25">
      <c r="O354" s="332"/>
      <c r="P354" s="332"/>
    </row>
    <row r="355" spans="15:16" x14ac:dyDescent="0.25">
      <c r="O355" s="332"/>
      <c r="P355" s="332"/>
    </row>
    <row r="356" spans="15:16" x14ac:dyDescent="0.25">
      <c r="O356" s="332"/>
      <c r="P356" s="332"/>
    </row>
    <row r="357" spans="15:16" x14ac:dyDescent="0.25">
      <c r="O357" s="332"/>
      <c r="P357" s="332"/>
    </row>
    <row r="358" spans="15:16" x14ac:dyDescent="0.25">
      <c r="O358" s="332"/>
      <c r="P358" s="332"/>
    </row>
    <row r="359" spans="15:16" x14ac:dyDescent="0.25">
      <c r="O359" s="332"/>
      <c r="P359" s="332"/>
    </row>
    <row r="360" spans="15:16" x14ac:dyDescent="0.25">
      <c r="O360" s="332"/>
      <c r="P360" s="332"/>
    </row>
    <row r="361" spans="15:16" x14ac:dyDescent="0.25">
      <c r="O361" s="332"/>
      <c r="P361" s="332"/>
    </row>
    <row r="362" spans="15:16" x14ac:dyDescent="0.25">
      <c r="O362" s="332"/>
      <c r="P362" s="332"/>
    </row>
    <row r="363" spans="15:16" x14ac:dyDescent="0.25">
      <c r="O363" s="332"/>
      <c r="P363" s="332"/>
    </row>
    <row r="364" spans="15:16" x14ac:dyDescent="0.25">
      <c r="O364" s="332"/>
      <c r="P364" s="332"/>
    </row>
    <row r="365" spans="15:16" x14ac:dyDescent="0.25">
      <c r="O365" s="332"/>
      <c r="P365" s="332"/>
    </row>
    <row r="366" spans="15:16" x14ac:dyDescent="0.25">
      <c r="O366" s="332"/>
      <c r="P366" s="332"/>
    </row>
    <row r="367" spans="15:16" x14ac:dyDescent="0.25">
      <c r="O367" s="332"/>
      <c r="P367" s="332"/>
    </row>
    <row r="368" spans="15:16" x14ac:dyDescent="0.25">
      <c r="O368" s="332"/>
      <c r="P368" s="332"/>
    </row>
    <row r="369" spans="15:16" x14ac:dyDescent="0.25">
      <c r="O369" s="332"/>
      <c r="P369" s="332"/>
    </row>
    <row r="370" spans="15:16" x14ac:dyDescent="0.25">
      <c r="O370" s="332"/>
      <c r="P370" s="332"/>
    </row>
    <row r="371" spans="15:16" x14ac:dyDescent="0.25">
      <c r="O371" s="332"/>
      <c r="P371" s="332"/>
    </row>
    <row r="372" spans="15:16" x14ac:dyDescent="0.25">
      <c r="O372" s="332"/>
      <c r="P372" s="332"/>
    </row>
    <row r="373" spans="15:16" x14ac:dyDescent="0.25">
      <c r="O373" s="332"/>
      <c r="P373" s="332"/>
    </row>
    <row r="374" spans="15:16" x14ac:dyDescent="0.25">
      <c r="O374" s="332"/>
      <c r="P374" s="332"/>
    </row>
    <row r="375" spans="15:16" x14ac:dyDescent="0.25">
      <c r="O375" s="332"/>
      <c r="P375" s="332"/>
    </row>
    <row r="376" spans="15:16" x14ac:dyDescent="0.25">
      <c r="O376" s="332"/>
      <c r="P376" s="332"/>
    </row>
    <row r="377" spans="15:16" x14ac:dyDescent="0.25">
      <c r="O377" s="332"/>
      <c r="P377" s="332"/>
    </row>
    <row r="378" spans="15:16" x14ac:dyDescent="0.25">
      <c r="O378" s="332"/>
      <c r="P378" s="332"/>
    </row>
    <row r="379" spans="15:16" x14ac:dyDescent="0.25">
      <c r="O379" s="332"/>
      <c r="P379" s="332"/>
    </row>
    <row r="380" spans="15:16" x14ac:dyDescent="0.25">
      <c r="O380" s="332"/>
      <c r="P380" s="332"/>
    </row>
    <row r="381" spans="15:16" x14ac:dyDescent="0.25">
      <c r="O381" s="332"/>
      <c r="P381" s="332"/>
    </row>
    <row r="382" spans="15:16" x14ac:dyDescent="0.25">
      <c r="O382" s="332"/>
      <c r="P382" s="332"/>
    </row>
    <row r="383" spans="15:16" x14ac:dyDescent="0.25">
      <c r="O383" s="332"/>
      <c r="P383" s="332"/>
    </row>
    <row r="384" spans="15:16" x14ac:dyDescent="0.25">
      <c r="O384" s="332"/>
      <c r="P384" s="332"/>
    </row>
    <row r="385" spans="15:16" x14ac:dyDescent="0.25">
      <c r="O385" s="332"/>
      <c r="P385" s="332"/>
    </row>
    <row r="386" spans="15:16" x14ac:dyDescent="0.25">
      <c r="O386" s="332"/>
      <c r="P386" s="332"/>
    </row>
    <row r="387" spans="15:16" x14ac:dyDescent="0.25">
      <c r="O387" s="332"/>
      <c r="P387" s="332"/>
    </row>
    <row r="388" spans="15:16" x14ac:dyDescent="0.25">
      <c r="O388" s="332"/>
      <c r="P388" s="332"/>
    </row>
    <row r="389" spans="15:16" x14ac:dyDescent="0.25">
      <c r="O389" s="332"/>
      <c r="P389" s="332"/>
    </row>
    <row r="390" spans="15:16" x14ac:dyDescent="0.25">
      <c r="O390" s="332"/>
      <c r="P390" s="332"/>
    </row>
    <row r="391" spans="15:16" x14ac:dyDescent="0.25">
      <c r="O391" s="332"/>
      <c r="P391" s="332"/>
    </row>
    <row r="392" spans="15:16" x14ac:dyDescent="0.25">
      <c r="O392" s="332"/>
      <c r="P392" s="332"/>
    </row>
    <row r="393" spans="15:16" x14ac:dyDescent="0.25">
      <c r="O393" s="332"/>
      <c r="P393" s="332"/>
    </row>
    <row r="394" spans="15:16" x14ac:dyDescent="0.25">
      <c r="O394" s="332"/>
      <c r="P394" s="332"/>
    </row>
    <row r="395" spans="15:16" x14ac:dyDescent="0.25">
      <c r="O395" s="332"/>
      <c r="P395" s="332"/>
    </row>
    <row r="396" spans="15:16" x14ac:dyDescent="0.25">
      <c r="O396" s="332"/>
      <c r="P396" s="332"/>
    </row>
    <row r="397" spans="15:16" x14ac:dyDescent="0.25">
      <c r="O397" s="332"/>
      <c r="P397" s="332"/>
    </row>
    <row r="398" spans="15:16" x14ac:dyDescent="0.25">
      <c r="O398" s="332"/>
      <c r="P398" s="332"/>
    </row>
    <row r="399" spans="15:16" x14ac:dyDescent="0.25">
      <c r="O399" s="332"/>
      <c r="P399" s="332"/>
    </row>
    <row r="400" spans="15:16" x14ac:dyDescent="0.25">
      <c r="O400" s="332"/>
      <c r="P400" s="332"/>
    </row>
    <row r="401" spans="15:16" x14ac:dyDescent="0.25">
      <c r="O401" s="332"/>
      <c r="P401" s="332"/>
    </row>
    <row r="402" spans="15:16" x14ac:dyDescent="0.25">
      <c r="O402" s="332"/>
      <c r="P402" s="332"/>
    </row>
    <row r="403" spans="15:16" x14ac:dyDescent="0.25">
      <c r="O403" s="332"/>
      <c r="P403" s="332"/>
    </row>
    <row r="404" spans="15:16" x14ac:dyDescent="0.25">
      <c r="O404" s="332"/>
      <c r="P404" s="332"/>
    </row>
    <row r="405" spans="15:16" x14ac:dyDescent="0.25">
      <c r="O405" s="332"/>
      <c r="P405" s="332"/>
    </row>
    <row r="406" spans="15:16" x14ac:dyDescent="0.25">
      <c r="O406" s="332"/>
      <c r="P406" s="332"/>
    </row>
    <row r="407" spans="15:16" x14ac:dyDescent="0.25">
      <c r="O407" s="332"/>
      <c r="P407" s="332"/>
    </row>
    <row r="408" spans="15:16" x14ac:dyDescent="0.25">
      <c r="O408" s="332"/>
      <c r="P408" s="332"/>
    </row>
    <row r="409" spans="15:16" x14ac:dyDescent="0.25">
      <c r="O409" s="332"/>
      <c r="P409" s="332"/>
    </row>
    <row r="410" spans="15:16" x14ac:dyDescent="0.25">
      <c r="O410" s="332"/>
      <c r="P410" s="332"/>
    </row>
    <row r="411" spans="15:16" x14ac:dyDescent="0.25">
      <c r="O411" s="332"/>
      <c r="P411" s="332"/>
    </row>
    <row r="412" spans="15:16" x14ac:dyDescent="0.25">
      <c r="O412" s="332"/>
      <c r="P412" s="332"/>
    </row>
    <row r="413" spans="15:16" x14ac:dyDescent="0.25">
      <c r="O413" s="332"/>
      <c r="P413" s="332"/>
    </row>
    <row r="414" spans="15:16" x14ac:dyDescent="0.25">
      <c r="O414" s="332"/>
      <c r="P414" s="332"/>
    </row>
    <row r="415" spans="15:16" x14ac:dyDescent="0.25">
      <c r="O415" s="332"/>
      <c r="P415" s="332"/>
    </row>
    <row r="416" spans="15:16" x14ac:dyDescent="0.25">
      <c r="O416" s="332"/>
      <c r="P416" s="332"/>
    </row>
    <row r="417" spans="15:16" x14ac:dyDescent="0.25">
      <c r="O417" s="332"/>
      <c r="P417" s="332"/>
    </row>
    <row r="418" spans="15:16" x14ac:dyDescent="0.25">
      <c r="O418" s="332"/>
      <c r="P418" s="332"/>
    </row>
    <row r="419" spans="15:16" x14ac:dyDescent="0.25">
      <c r="O419" s="332"/>
      <c r="P419" s="332"/>
    </row>
    <row r="420" spans="15:16" x14ac:dyDescent="0.25">
      <c r="O420" s="332"/>
      <c r="P420" s="332"/>
    </row>
    <row r="421" spans="15:16" x14ac:dyDescent="0.25">
      <c r="O421" s="332"/>
      <c r="P421" s="332"/>
    </row>
    <row r="422" spans="15:16" x14ac:dyDescent="0.25">
      <c r="O422" s="332"/>
      <c r="P422" s="332"/>
    </row>
    <row r="423" spans="15:16" x14ac:dyDescent="0.25">
      <c r="O423" s="332"/>
      <c r="P423" s="332"/>
    </row>
    <row r="424" spans="15:16" x14ac:dyDescent="0.25">
      <c r="O424" s="332"/>
      <c r="P424" s="332"/>
    </row>
    <row r="425" spans="15:16" x14ac:dyDescent="0.25">
      <c r="O425" s="332"/>
      <c r="P425" s="332"/>
    </row>
    <row r="426" spans="15:16" x14ac:dyDescent="0.25">
      <c r="O426" s="332"/>
      <c r="P426" s="332"/>
    </row>
    <row r="427" spans="15:16" x14ac:dyDescent="0.25">
      <c r="O427" s="332"/>
      <c r="P427" s="332"/>
    </row>
    <row r="428" spans="15:16" x14ac:dyDescent="0.25">
      <c r="O428" s="332"/>
      <c r="P428" s="332"/>
    </row>
    <row r="429" spans="15:16" x14ac:dyDescent="0.25">
      <c r="O429" s="332"/>
      <c r="P429" s="332"/>
    </row>
    <row r="430" spans="15:16" x14ac:dyDescent="0.25">
      <c r="O430" s="332"/>
      <c r="P430" s="332"/>
    </row>
    <row r="431" spans="15:16" x14ac:dyDescent="0.25">
      <c r="O431" s="332"/>
      <c r="P431" s="332"/>
    </row>
    <row r="432" spans="15:16" x14ac:dyDescent="0.25">
      <c r="O432" s="332"/>
      <c r="P432" s="332"/>
    </row>
    <row r="433" spans="15:16" x14ac:dyDescent="0.25">
      <c r="O433" s="332"/>
      <c r="P433" s="332"/>
    </row>
    <row r="434" spans="15:16" x14ac:dyDescent="0.25">
      <c r="O434" s="332"/>
      <c r="P434" s="332"/>
    </row>
    <row r="435" spans="15:16" x14ac:dyDescent="0.25">
      <c r="O435" s="332"/>
      <c r="P435" s="332"/>
    </row>
    <row r="436" spans="15:16" x14ac:dyDescent="0.25">
      <c r="O436" s="332"/>
      <c r="P436" s="332"/>
    </row>
    <row r="437" spans="15:16" x14ac:dyDescent="0.25">
      <c r="O437" s="332"/>
      <c r="P437" s="332"/>
    </row>
    <row r="438" spans="15:16" x14ac:dyDescent="0.25">
      <c r="O438" s="332"/>
      <c r="P438" s="332"/>
    </row>
    <row r="439" spans="15:16" x14ac:dyDescent="0.25">
      <c r="O439" s="332"/>
      <c r="P439" s="332"/>
    </row>
    <row r="440" spans="15:16" x14ac:dyDescent="0.25">
      <c r="O440" s="332"/>
      <c r="P440" s="332"/>
    </row>
    <row r="441" spans="15:16" x14ac:dyDescent="0.25">
      <c r="O441" s="332"/>
      <c r="P441" s="332"/>
    </row>
    <row r="442" spans="15:16" x14ac:dyDescent="0.25">
      <c r="O442" s="332"/>
      <c r="P442" s="332"/>
    </row>
    <row r="443" spans="15:16" x14ac:dyDescent="0.25">
      <c r="O443" s="332"/>
      <c r="P443" s="332"/>
    </row>
    <row r="444" spans="15:16" x14ac:dyDescent="0.25">
      <c r="O444" s="332"/>
      <c r="P444" s="332"/>
    </row>
    <row r="445" spans="15:16" x14ac:dyDescent="0.25">
      <c r="O445" s="332"/>
      <c r="P445" s="332"/>
    </row>
    <row r="446" spans="15:16" x14ac:dyDescent="0.25">
      <c r="O446" s="332"/>
      <c r="P446" s="332"/>
    </row>
    <row r="447" spans="15:16" x14ac:dyDescent="0.25">
      <c r="O447" s="332"/>
      <c r="P447" s="332"/>
    </row>
    <row r="448" spans="15:16" x14ac:dyDescent="0.25">
      <c r="O448" s="332"/>
      <c r="P448" s="332"/>
    </row>
    <row r="449" spans="15:16" x14ac:dyDescent="0.25">
      <c r="O449" s="332"/>
      <c r="P449" s="332"/>
    </row>
    <row r="450" spans="15:16" x14ac:dyDescent="0.25">
      <c r="O450" s="332"/>
      <c r="P450" s="332"/>
    </row>
    <row r="451" spans="15:16" x14ac:dyDescent="0.25">
      <c r="O451" s="332"/>
      <c r="P451" s="332"/>
    </row>
    <row r="452" spans="15:16" x14ac:dyDescent="0.25">
      <c r="O452" s="332"/>
      <c r="P452" s="332"/>
    </row>
    <row r="453" spans="15:16" x14ac:dyDescent="0.25">
      <c r="O453" s="332"/>
      <c r="P453" s="332"/>
    </row>
    <row r="454" spans="15:16" x14ac:dyDescent="0.25">
      <c r="O454" s="332"/>
      <c r="P454" s="332"/>
    </row>
    <row r="455" spans="15:16" x14ac:dyDescent="0.25">
      <c r="O455" s="332"/>
      <c r="P455" s="332"/>
    </row>
    <row r="456" spans="15:16" x14ac:dyDescent="0.25">
      <c r="O456" s="332"/>
      <c r="P456" s="332"/>
    </row>
    <row r="457" spans="15:16" x14ac:dyDescent="0.25">
      <c r="O457" s="332"/>
      <c r="P457" s="332"/>
    </row>
    <row r="458" spans="15:16" x14ac:dyDescent="0.25">
      <c r="O458" s="332"/>
      <c r="P458" s="332"/>
    </row>
    <row r="459" spans="15:16" x14ac:dyDescent="0.25">
      <c r="O459" s="332"/>
      <c r="P459" s="332"/>
    </row>
    <row r="460" spans="15:16" x14ac:dyDescent="0.25">
      <c r="O460" s="332"/>
      <c r="P460" s="332"/>
    </row>
    <row r="461" spans="15:16" x14ac:dyDescent="0.25">
      <c r="O461" s="332"/>
      <c r="P461" s="332"/>
    </row>
    <row r="462" spans="15:16" x14ac:dyDescent="0.25">
      <c r="O462" s="332"/>
      <c r="P462" s="332"/>
    </row>
    <row r="463" spans="15:16" x14ac:dyDescent="0.25">
      <c r="O463" s="332"/>
      <c r="P463" s="332"/>
    </row>
    <row r="464" spans="15:16" x14ac:dyDescent="0.25">
      <c r="O464" s="332"/>
      <c r="P464" s="332"/>
    </row>
    <row r="465" spans="15:16" x14ac:dyDescent="0.25">
      <c r="O465" s="332"/>
      <c r="P465" s="332"/>
    </row>
    <row r="466" spans="15:16" x14ac:dyDescent="0.25">
      <c r="O466" s="332"/>
      <c r="P466" s="332"/>
    </row>
    <row r="467" spans="15:16" x14ac:dyDescent="0.25">
      <c r="O467" s="332"/>
      <c r="P467" s="332"/>
    </row>
    <row r="468" spans="15:16" x14ac:dyDescent="0.25">
      <c r="O468" s="332"/>
      <c r="P468" s="332"/>
    </row>
    <row r="469" spans="15:16" x14ac:dyDescent="0.25">
      <c r="O469" s="332"/>
      <c r="P469" s="332"/>
    </row>
    <row r="470" spans="15:16" x14ac:dyDescent="0.25">
      <c r="O470" s="332"/>
      <c r="P470" s="332"/>
    </row>
    <row r="471" spans="15:16" x14ac:dyDescent="0.25">
      <c r="O471" s="332"/>
      <c r="P471" s="332"/>
    </row>
    <row r="472" spans="15:16" x14ac:dyDescent="0.25">
      <c r="O472" s="332"/>
      <c r="P472" s="332"/>
    </row>
    <row r="473" spans="15:16" x14ac:dyDescent="0.25">
      <c r="O473" s="332"/>
      <c r="P473" s="332"/>
    </row>
    <row r="474" spans="15:16" x14ac:dyDescent="0.25">
      <c r="O474" s="332"/>
      <c r="P474" s="332"/>
    </row>
    <row r="475" spans="15:16" x14ac:dyDescent="0.25">
      <c r="O475" s="332"/>
      <c r="P475" s="332"/>
    </row>
    <row r="476" spans="15:16" x14ac:dyDescent="0.25">
      <c r="O476" s="332"/>
      <c r="P476" s="332"/>
    </row>
    <row r="477" spans="15:16" x14ac:dyDescent="0.25">
      <c r="O477" s="332"/>
      <c r="P477" s="332"/>
    </row>
    <row r="478" spans="15:16" x14ac:dyDescent="0.25">
      <c r="O478" s="332"/>
      <c r="P478" s="332"/>
    </row>
    <row r="479" spans="15:16" x14ac:dyDescent="0.25">
      <c r="O479" s="332"/>
      <c r="P479" s="332"/>
    </row>
    <row r="480" spans="15:16" x14ac:dyDescent="0.25">
      <c r="O480" s="332"/>
      <c r="P480" s="332"/>
    </row>
    <row r="481" spans="15:16" x14ac:dyDescent="0.25">
      <c r="O481" s="332"/>
      <c r="P481" s="332"/>
    </row>
    <row r="482" spans="15:16" x14ac:dyDescent="0.25">
      <c r="O482" s="332"/>
      <c r="P482" s="332"/>
    </row>
    <row r="483" spans="15:16" x14ac:dyDescent="0.25">
      <c r="O483" s="332"/>
      <c r="P483" s="332"/>
    </row>
    <row r="484" spans="15:16" x14ac:dyDescent="0.25">
      <c r="O484" s="332"/>
      <c r="P484" s="332"/>
    </row>
    <row r="485" spans="15:16" x14ac:dyDescent="0.25">
      <c r="O485" s="332"/>
      <c r="P485" s="332"/>
    </row>
    <row r="486" spans="15:16" x14ac:dyDescent="0.25">
      <c r="O486" s="332"/>
      <c r="P486" s="332"/>
    </row>
    <row r="487" spans="15:16" x14ac:dyDescent="0.25">
      <c r="O487" s="332"/>
      <c r="P487" s="332"/>
    </row>
    <row r="488" spans="15:16" x14ac:dyDescent="0.25">
      <c r="O488" s="332"/>
      <c r="P488" s="332"/>
    </row>
    <row r="489" spans="15:16" x14ac:dyDescent="0.25">
      <c r="O489" s="332"/>
      <c r="P489" s="332"/>
    </row>
    <row r="490" spans="15:16" x14ac:dyDescent="0.25">
      <c r="O490" s="332"/>
      <c r="P490" s="332"/>
    </row>
    <row r="491" spans="15:16" x14ac:dyDescent="0.25">
      <c r="O491" s="332"/>
      <c r="P491" s="332"/>
    </row>
    <row r="492" spans="15:16" x14ac:dyDescent="0.25">
      <c r="O492" s="332"/>
      <c r="P492" s="332"/>
    </row>
    <row r="493" spans="15:16" x14ac:dyDescent="0.25">
      <c r="O493" s="332"/>
      <c r="P493" s="332"/>
    </row>
    <row r="494" spans="15:16" x14ac:dyDescent="0.25">
      <c r="O494" s="332"/>
      <c r="P494" s="332"/>
    </row>
    <row r="495" spans="15:16" x14ac:dyDescent="0.25">
      <c r="O495" s="332"/>
      <c r="P495" s="332"/>
    </row>
    <row r="496" spans="15:16" x14ac:dyDescent="0.25">
      <c r="O496" s="332"/>
      <c r="P496" s="332"/>
    </row>
    <row r="497" spans="15:16" x14ac:dyDescent="0.25">
      <c r="O497" s="332"/>
      <c r="P497" s="332"/>
    </row>
    <row r="498" spans="15:16" x14ac:dyDescent="0.25">
      <c r="O498" s="332"/>
      <c r="P498" s="332"/>
    </row>
    <row r="499" spans="15:16" x14ac:dyDescent="0.25">
      <c r="O499" s="332"/>
      <c r="P499" s="332"/>
    </row>
    <row r="500" spans="15:16" x14ac:dyDescent="0.25">
      <c r="O500" s="332"/>
      <c r="P500" s="332"/>
    </row>
    <row r="501" spans="15:16" x14ac:dyDescent="0.25">
      <c r="O501" s="332"/>
      <c r="P501" s="332"/>
    </row>
    <row r="502" spans="15:16" x14ac:dyDescent="0.25">
      <c r="O502" s="332"/>
      <c r="P502" s="332"/>
    </row>
    <row r="503" spans="15:16" x14ac:dyDescent="0.25">
      <c r="O503" s="332"/>
      <c r="P503" s="332"/>
    </row>
    <row r="504" spans="15:16" x14ac:dyDescent="0.25">
      <c r="O504" s="332"/>
      <c r="P504" s="332"/>
    </row>
    <row r="505" spans="15:16" x14ac:dyDescent="0.25">
      <c r="O505" s="332"/>
      <c r="P505" s="332"/>
    </row>
    <row r="506" spans="15:16" x14ac:dyDescent="0.25">
      <c r="O506" s="332"/>
      <c r="P506" s="332"/>
    </row>
    <row r="507" spans="15:16" x14ac:dyDescent="0.25">
      <c r="O507" s="332"/>
      <c r="P507" s="332"/>
    </row>
    <row r="508" spans="15:16" x14ac:dyDescent="0.25">
      <c r="O508" s="332"/>
      <c r="P508" s="332"/>
    </row>
    <row r="509" spans="15:16" x14ac:dyDescent="0.25">
      <c r="O509" s="332"/>
      <c r="P509" s="332"/>
    </row>
    <row r="510" spans="15:16" x14ac:dyDescent="0.25">
      <c r="O510" s="332"/>
      <c r="P510" s="332"/>
    </row>
    <row r="511" spans="15:16" x14ac:dyDescent="0.25">
      <c r="O511" s="332"/>
      <c r="P511" s="332"/>
    </row>
    <row r="512" spans="15:16" x14ac:dyDescent="0.25">
      <c r="O512" s="332"/>
      <c r="P512" s="332"/>
    </row>
    <row r="513" spans="15:16" x14ac:dyDescent="0.25">
      <c r="O513" s="332"/>
      <c r="P513" s="332"/>
    </row>
    <row r="514" spans="15:16" x14ac:dyDescent="0.25">
      <c r="O514" s="332"/>
      <c r="P514" s="332"/>
    </row>
    <row r="515" spans="15:16" x14ac:dyDescent="0.25">
      <c r="O515" s="332"/>
      <c r="P515" s="332"/>
    </row>
    <row r="516" spans="15:16" x14ac:dyDescent="0.25">
      <c r="O516" s="332"/>
      <c r="P516" s="332"/>
    </row>
    <row r="517" spans="15:16" x14ac:dyDescent="0.25">
      <c r="O517" s="332"/>
      <c r="P517" s="332"/>
    </row>
    <row r="518" spans="15:16" x14ac:dyDescent="0.25">
      <c r="O518" s="332"/>
      <c r="P518" s="332"/>
    </row>
    <row r="519" spans="15:16" x14ac:dyDescent="0.25">
      <c r="O519" s="332"/>
      <c r="P519" s="332"/>
    </row>
    <row r="520" spans="15:16" x14ac:dyDescent="0.25">
      <c r="O520" s="332"/>
      <c r="P520" s="332"/>
    </row>
    <row r="521" spans="15:16" x14ac:dyDescent="0.25">
      <c r="O521" s="332"/>
      <c r="P521" s="332"/>
    </row>
    <row r="522" spans="15:16" x14ac:dyDescent="0.25">
      <c r="O522" s="332"/>
      <c r="P522" s="332"/>
    </row>
    <row r="523" spans="15:16" x14ac:dyDescent="0.25">
      <c r="O523" s="332"/>
      <c r="P523" s="332"/>
    </row>
    <row r="524" spans="15:16" x14ac:dyDescent="0.25">
      <c r="O524" s="332"/>
      <c r="P524" s="332"/>
    </row>
    <row r="525" spans="15:16" x14ac:dyDescent="0.25">
      <c r="O525" s="332"/>
      <c r="P525" s="332"/>
    </row>
    <row r="526" spans="15:16" x14ac:dyDescent="0.25">
      <c r="O526" s="332"/>
      <c r="P526" s="332"/>
    </row>
    <row r="527" spans="15:16" x14ac:dyDescent="0.25">
      <c r="O527" s="332"/>
      <c r="P527" s="332"/>
    </row>
    <row r="528" spans="15:16" x14ac:dyDescent="0.25">
      <c r="O528" s="332"/>
      <c r="P528" s="332"/>
    </row>
    <row r="529" spans="15:16" x14ac:dyDescent="0.25">
      <c r="O529" s="332"/>
      <c r="P529" s="332"/>
    </row>
    <row r="530" spans="15:16" x14ac:dyDescent="0.25">
      <c r="O530" s="332"/>
      <c r="P530" s="332"/>
    </row>
    <row r="531" spans="15:16" x14ac:dyDescent="0.25">
      <c r="O531" s="332"/>
      <c r="P531" s="332"/>
    </row>
    <row r="532" spans="15:16" x14ac:dyDescent="0.25">
      <c r="O532" s="332"/>
      <c r="P532" s="332"/>
    </row>
    <row r="533" spans="15:16" x14ac:dyDescent="0.25">
      <c r="O533" s="332"/>
      <c r="P533" s="332"/>
    </row>
    <row r="534" spans="15:16" x14ac:dyDescent="0.25">
      <c r="O534" s="332"/>
      <c r="P534" s="332"/>
    </row>
    <row r="535" spans="15:16" x14ac:dyDescent="0.25">
      <c r="O535" s="332"/>
      <c r="P535" s="332"/>
    </row>
    <row r="536" spans="15:16" x14ac:dyDescent="0.25">
      <c r="O536" s="332"/>
      <c r="P536" s="332"/>
    </row>
    <row r="537" spans="15:16" x14ac:dyDescent="0.25">
      <c r="O537" s="332"/>
      <c r="P537" s="332"/>
    </row>
    <row r="538" spans="15:16" x14ac:dyDescent="0.25">
      <c r="O538" s="332"/>
      <c r="P538" s="332"/>
    </row>
    <row r="539" spans="15:16" x14ac:dyDescent="0.25">
      <c r="O539" s="332"/>
      <c r="P539" s="332"/>
    </row>
    <row r="540" spans="15:16" x14ac:dyDescent="0.25">
      <c r="O540" s="332"/>
      <c r="P540" s="332"/>
    </row>
    <row r="541" spans="15:16" x14ac:dyDescent="0.25">
      <c r="O541" s="332"/>
      <c r="P541" s="332"/>
    </row>
    <row r="542" spans="15:16" x14ac:dyDescent="0.25">
      <c r="O542" s="332"/>
      <c r="P542" s="332"/>
    </row>
    <row r="543" spans="15:16" x14ac:dyDescent="0.25">
      <c r="O543" s="332"/>
      <c r="P543" s="332"/>
    </row>
    <row r="544" spans="15:16" x14ac:dyDescent="0.25">
      <c r="O544" s="332"/>
      <c r="P544" s="332"/>
    </row>
    <row r="545" spans="15:16" x14ac:dyDescent="0.25">
      <c r="O545" s="332"/>
      <c r="P545" s="332"/>
    </row>
    <row r="546" spans="15:16" x14ac:dyDescent="0.25">
      <c r="O546" s="332"/>
      <c r="P546" s="332"/>
    </row>
    <row r="547" spans="15:16" x14ac:dyDescent="0.25">
      <c r="O547" s="332"/>
      <c r="P547" s="332"/>
    </row>
    <row r="548" spans="15:16" x14ac:dyDescent="0.25">
      <c r="O548" s="332"/>
      <c r="P548" s="332"/>
    </row>
    <row r="549" spans="15:16" x14ac:dyDescent="0.25">
      <c r="O549" s="332"/>
      <c r="P549" s="332"/>
    </row>
    <row r="550" spans="15:16" x14ac:dyDescent="0.25">
      <c r="O550" s="332"/>
      <c r="P550" s="332"/>
    </row>
    <row r="551" spans="15:16" x14ac:dyDescent="0.25">
      <c r="O551" s="332"/>
      <c r="P551" s="332"/>
    </row>
    <row r="552" spans="15:16" x14ac:dyDescent="0.25">
      <c r="O552" s="332"/>
      <c r="P552" s="332"/>
    </row>
    <row r="553" spans="15:16" x14ac:dyDescent="0.25">
      <c r="O553" s="332"/>
      <c r="P553" s="332"/>
    </row>
    <row r="554" spans="15:16" x14ac:dyDescent="0.25">
      <c r="O554" s="332"/>
      <c r="P554" s="332"/>
    </row>
    <row r="555" spans="15:16" x14ac:dyDescent="0.25">
      <c r="O555" s="332"/>
      <c r="P555" s="332"/>
    </row>
    <row r="556" spans="15:16" x14ac:dyDescent="0.25">
      <c r="O556" s="332"/>
      <c r="P556" s="332"/>
    </row>
    <row r="557" spans="15:16" x14ac:dyDescent="0.25">
      <c r="O557" s="332"/>
      <c r="P557" s="332"/>
    </row>
    <row r="558" spans="15:16" x14ac:dyDescent="0.25">
      <c r="O558" s="332"/>
      <c r="P558" s="332"/>
    </row>
    <row r="559" spans="15:16" x14ac:dyDescent="0.25">
      <c r="O559" s="332"/>
      <c r="P559" s="332"/>
    </row>
    <row r="560" spans="15:16" x14ac:dyDescent="0.25">
      <c r="O560" s="332"/>
      <c r="P560" s="332"/>
    </row>
    <row r="561" spans="15:16" x14ac:dyDescent="0.25">
      <c r="O561" s="332"/>
      <c r="P561" s="332"/>
    </row>
    <row r="562" spans="15:16" x14ac:dyDescent="0.25">
      <c r="O562" s="332"/>
      <c r="P562" s="332"/>
    </row>
    <row r="563" spans="15:16" x14ac:dyDescent="0.25">
      <c r="O563" s="332"/>
      <c r="P563" s="332"/>
    </row>
    <row r="564" spans="15:16" x14ac:dyDescent="0.25">
      <c r="O564" s="332"/>
      <c r="P564" s="332"/>
    </row>
    <row r="565" spans="15:16" x14ac:dyDescent="0.25">
      <c r="O565" s="332"/>
      <c r="P565" s="332"/>
    </row>
    <row r="566" spans="15:16" x14ac:dyDescent="0.25">
      <c r="O566" s="332"/>
      <c r="P566" s="332"/>
    </row>
    <row r="567" spans="15:16" x14ac:dyDescent="0.25">
      <c r="O567" s="332"/>
      <c r="P567" s="332"/>
    </row>
    <row r="568" spans="15:16" x14ac:dyDescent="0.25">
      <c r="O568" s="332"/>
      <c r="P568" s="332"/>
    </row>
    <row r="569" spans="15:16" x14ac:dyDescent="0.25">
      <c r="O569" s="332"/>
      <c r="P569" s="332"/>
    </row>
    <row r="570" spans="15:16" x14ac:dyDescent="0.25">
      <c r="O570" s="332"/>
      <c r="P570" s="332"/>
    </row>
    <row r="571" spans="15:16" x14ac:dyDescent="0.25">
      <c r="O571" s="332"/>
      <c r="P571" s="332"/>
    </row>
    <row r="572" spans="15:16" x14ac:dyDescent="0.25">
      <c r="O572" s="332"/>
      <c r="P572" s="332"/>
    </row>
    <row r="573" spans="15:16" x14ac:dyDescent="0.25">
      <c r="O573" s="332"/>
      <c r="P573" s="332"/>
    </row>
    <row r="574" spans="15:16" x14ac:dyDescent="0.25">
      <c r="O574" s="332"/>
      <c r="P574" s="332"/>
    </row>
    <row r="575" spans="15:16" x14ac:dyDescent="0.25">
      <c r="O575" s="332"/>
      <c r="P575" s="332"/>
    </row>
    <row r="576" spans="15:16" x14ac:dyDescent="0.25">
      <c r="O576" s="332"/>
      <c r="P576" s="332"/>
    </row>
    <row r="577" spans="15:16" x14ac:dyDescent="0.25">
      <c r="O577" s="332"/>
      <c r="P577" s="332"/>
    </row>
    <row r="578" spans="15:16" x14ac:dyDescent="0.25">
      <c r="O578" s="332"/>
      <c r="P578" s="332"/>
    </row>
    <row r="579" spans="15:16" x14ac:dyDescent="0.25">
      <c r="O579" s="332"/>
      <c r="P579" s="332"/>
    </row>
    <row r="580" spans="15:16" x14ac:dyDescent="0.25">
      <c r="O580" s="332"/>
      <c r="P580" s="332"/>
    </row>
    <row r="581" spans="15:16" x14ac:dyDescent="0.25">
      <c r="O581" s="332"/>
      <c r="P581" s="332"/>
    </row>
    <row r="582" spans="15:16" x14ac:dyDescent="0.25">
      <c r="O582" s="332"/>
      <c r="P582" s="332"/>
    </row>
    <row r="583" spans="15:16" x14ac:dyDescent="0.25">
      <c r="O583" s="332"/>
      <c r="P583" s="332"/>
    </row>
    <row r="584" spans="15:16" x14ac:dyDescent="0.25">
      <c r="O584" s="332"/>
      <c r="P584" s="332"/>
    </row>
    <row r="585" spans="15:16" x14ac:dyDescent="0.25">
      <c r="O585" s="332"/>
      <c r="P585" s="332"/>
    </row>
    <row r="586" spans="15:16" x14ac:dyDescent="0.25">
      <c r="O586" s="332"/>
      <c r="P586" s="332"/>
    </row>
    <row r="587" spans="15:16" x14ac:dyDescent="0.25">
      <c r="O587" s="332"/>
      <c r="P587" s="332"/>
    </row>
    <row r="588" spans="15:16" x14ac:dyDescent="0.25">
      <c r="O588" s="332"/>
      <c r="P588" s="332"/>
    </row>
    <row r="589" spans="15:16" x14ac:dyDescent="0.25">
      <c r="O589" s="332"/>
      <c r="P589" s="332"/>
    </row>
    <row r="590" spans="15:16" x14ac:dyDescent="0.25">
      <c r="O590" s="332"/>
      <c r="P590" s="332"/>
    </row>
    <row r="591" spans="15:16" x14ac:dyDescent="0.25">
      <c r="O591" s="332"/>
      <c r="P591" s="332"/>
    </row>
    <row r="592" spans="15:16" x14ac:dyDescent="0.25">
      <c r="O592" s="332"/>
      <c r="P592" s="332"/>
    </row>
    <row r="593" spans="15:16" x14ac:dyDescent="0.25">
      <c r="O593" s="332"/>
      <c r="P593" s="332"/>
    </row>
    <row r="594" spans="15:16" x14ac:dyDescent="0.25">
      <c r="O594" s="332"/>
      <c r="P594" s="332"/>
    </row>
    <row r="595" spans="15:16" x14ac:dyDescent="0.25">
      <c r="O595" s="332"/>
      <c r="P595" s="332"/>
    </row>
    <row r="596" spans="15:16" x14ac:dyDescent="0.25">
      <c r="O596" s="332"/>
      <c r="P596" s="332"/>
    </row>
    <row r="597" spans="15:16" x14ac:dyDescent="0.25">
      <c r="O597" s="332"/>
      <c r="P597" s="332"/>
    </row>
    <row r="598" spans="15:16" x14ac:dyDescent="0.25">
      <c r="O598" s="332"/>
      <c r="P598" s="332"/>
    </row>
    <row r="599" spans="15:16" x14ac:dyDescent="0.25">
      <c r="O599" s="332"/>
      <c r="P599" s="332"/>
    </row>
    <row r="600" spans="15:16" x14ac:dyDescent="0.25">
      <c r="O600" s="332"/>
      <c r="P600" s="332"/>
    </row>
    <row r="601" spans="15:16" x14ac:dyDescent="0.25">
      <c r="O601" s="332"/>
      <c r="P601" s="332"/>
    </row>
    <row r="602" spans="15:16" x14ac:dyDescent="0.25">
      <c r="O602" s="332"/>
      <c r="P602" s="332"/>
    </row>
    <row r="603" spans="15:16" x14ac:dyDescent="0.25">
      <c r="O603" s="332"/>
      <c r="P603" s="332"/>
    </row>
    <row r="604" spans="15:16" x14ac:dyDescent="0.25">
      <c r="O604" s="332"/>
      <c r="P604" s="332"/>
    </row>
    <row r="605" spans="15:16" x14ac:dyDescent="0.25">
      <c r="O605" s="332"/>
      <c r="P605" s="332"/>
    </row>
    <row r="606" spans="15:16" x14ac:dyDescent="0.25">
      <c r="O606" s="332"/>
      <c r="P606" s="332"/>
    </row>
    <row r="607" spans="15:16" x14ac:dyDescent="0.25">
      <c r="O607" s="332"/>
      <c r="P607" s="332"/>
    </row>
    <row r="608" spans="15:16" x14ac:dyDescent="0.25">
      <c r="O608" s="332"/>
      <c r="P608" s="332"/>
    </row>
    <row r="609" spans="15:16" x14ac:dyDescent="0.25">
      <c r="O609" s="332"/>
      <c r="P609" s="332"/>
    </row>
    <row r="610" spans="15:16" x14ac:dyDescent="0.25">
      <c r="O610" s="332"/>
      <c r="P610" s="332"/>
    </row>
    <row r="611" spans="15:16" x14ac:dyDescent="0.25">
      <c r="O611" s="332"/>
      <c r="P611" s="332"/>
    </row>
    <row r="612" spans="15:16" x14ac:dyDescent="0.25">
      <c r="O612" s="332"/>
      <c r="P612" s="332"/>
    </row>
    <row r="613" spans="15:16" x14ac:dyDescent="0.25">
      <c r="O613" s="332"/>
      <c r="P613" s="332"/>
    </row>
    <row r="614" spans="15:16" x14ac:dyDescent="0.25">
      <c r="O614" s="332"/>
      <c r="P614" s="332"/>
    </row>
    <row r="615" spans="15:16" x14ac:dyDescent="0.25">
      <c r="O615" s="332"/>
      <c r="P615" s="332"/>
    </row>
    <row r="616" spans="15:16" x14ac:dyDescent="0.25">
      <c r="O616" s="332"/>
      <c r="P616" s="332"/>
    </row>
    <row r="617" spans="15:16" x14ac:dyDescent="0.25">
      <c r="O617" s="332"/>
      <c r="P617" s="332"/>
    </row>
    <row r="618" spans="15:16" x14ac:dyDescent="0.25">
      <c r="O618" s="332"/>
      <c r="P618" s="332"/>
    </row>
    <row r="619" spans="15:16" x14ac:dyDescent="0.25">
      <c r="O619" s="332"/>
      <c r="P619" s="332"/>
    </row>
    <row r="620" spans="15:16" x14ac:dyDescent="0.25">
      <c r="O620" s="332"/>
      <c r="P620" s="332"/>
    </row>
    <row r="621" spans="15:16" x14ac:dyDescent="0.25">
      <c r="O621" s="332"/>
      <c r="P621" s="332"/>
    </row>
    <row r="622" spans="15:16" x14ac:dyDescent="0.25">
      <c r="O622" s="332"/>
      <c r="P622" s="332"/>
    </row>
    <row r="623" spans="15:16" x14ac:dyDescent="0.25">
      <c r="O623" s="332"/>
      <c r="P623" s="332"/>
    </row>
    <row r="624" spans="15:16" x14ac:dyDescent="0.25">
      <c r="O624" s="332"/>
      <c r="P624" s="332"/>
    </row>
    <row r="625" spans="15:16" x14ac:dyDescent="0.25">
      <c r="O625" s="332"/>
      <c r="P625" s="332"/>
    </row>
    <row r="626" spans="15:16" x14ac:dyDescent="0.25">
      <c r="O626" s="332"/>
      <c r="P626" s="332"/>
    </row>
    <row r="627" spans="15:16" x14ac:dyDescent="0.25">
      <c r="O627" s="332"/>
      <c r="P627" s="332"/>
    </row>
    <row r="628" spans="15:16" x14ac:dyDescent="0.25">
      <c r="O628" s="332"/>
      <c r="P628" s="332"/>
    </row>
    <row r="629" spans="15:16" x14ac:dyDescent="0.25">
      <c r="O629" s="332"/>
      <c r="P629" s="332"/>
    </row>
    <row r="630" spans="15:16" x14ac:dyDescent="0.25">
      <c r="O630" s="332"/>
      <c r="P630" s="332"/>
    </row>
    <row r="631" spans="15:16" x14ac:dyDescent="0.25">
      <c r="O631" s="332"/>
      <c r="P631" s="332"/>
    </row>
    <row r="632" spans="15:16" x14ac:dyDescent="0.25">
      <c r="O632" s="332"/>
      <c r="P632" s="332"/>
    </row>
    <row r="633" spans="15:16" x14ac:dyDescent="0.25">
      <c r="O633" s="332"/>
      <c r="P633" s="332"/>
    </row>
    <row r="634" spans="15:16" x14ac:dyDescent="0.25">
      <c r="O634" s="332"/>
      <c r="P634" s="332"/>
    </row>
    <row r="635" spans="15:16" x14ac:dyDescent="0.25">
      <c r="O635" s="332"/>
      <c r="P635" s="332"/>
    </row>
  </sheetData>
  <autoFilter ref="Y1:Y635" xr:uid="{00000000-0001-0000-0600-000000000000}"/>
  <sortState xmlns:xlrd2="http://schemas.microsoft.com/office/spreadsheetml/2017/richdata2" ref="B17:K495">
    <sortCondition ref="B17:B495"/>
    <sortCondition ref="C17:C495"/>
  </sortState>
  <mergeCells count="12">
    <mergeCell ref="B1:Z1"/>
    <mergeCell ref="B57:E57"/>
    <mergeCell ref="F57:J57"/>
    <mergeCell ref="M57:N57"/>
    <mergeCell ref="O57:R57"/>
    <mergeCell ref="S57:X57"/>
    <mergeCell ref="Y57:Z57"/>
    <mergeCell ref="I68:J68"/>
    <mergeCell ref="I67:J67"/>
    <mergeCell ref="O9:Q9"/>
    <mergeCell ref="F12:K12"/>
    <mergeCell ref="O12:R12"/>
  </mergeCells>
  <phoneticPr fontId="5" type="noConversion"/>
  <printOptions horizontalCentered="1" verticalCentered="1"/>
  <pageMargins left="0.7" right="0.7" top="0.75" bottom="0.75" header="0.3" footer="0.3"/>
  <pageSetup paperSize="9" scale="48" orientation="landscape" horizontalDpi="4294967292" vertic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FB23-674E-4A2F-8F39-44241E81CCD1}">
  <dimension ref="A1:AA600"/>
  <sheetViews>
    <sheetView view="pageBreakPreview" topLeftCell="H9" zoomScale="75" zoomScaleNormal="125" zoomScaleSheetLayoutView="75" workbookViewId="0">
      <selection activeCell="R18" sqref="R18"/>
    </sheetView>
  </sheetViews>
  <sheetFormatPr defaultColWidth="9.1796875" defaultRowHeight="12.5" x14ac:dyDescent="0.25"/>
  <cols>
    <col min="1" max="1" width="26.54296875" style="603" customWidth="1"/>
    <col min="2" max="2" width="10.453125" style="603" customWidth="1"/>
    <col min="3" max="3" width="4.1796875" style="603" customWidth="1"/>
    <col min="4" max="4" width="25.7265625" style="603" customWidth="1"/>
    <col min="5" max="5" width="24" style="603" customWidth="1"/>
    <col min="6" max="6" width="8.7265625" style="603" customWidth="1"/>
    <col min="7" max="7" width="7.7265625" style="603" customWidth="1"/>
    <col min="8" max="8" width="7.26953125" style="603" customWidth="1"/>
    <col min="9" max="9" width="8.1796875" style="603" customWidth="1"/>
    <col min="10" max="10" width="9.453125" style="603" customWidth="1"/>
    <col min="11" max="11" width="8.1796875" style="603" customWidth="1"/>
    <col min="12" max="12" width="7" style="603" customWidth="1"/>
    <col min="13" max="13" width="10.453125" style="603" customWidth="1"/>
    <col min="14" max="14" width="12" style="603" customWidth="1"/>
    <col min="15" max="15" width="9.26953125" style="603" customWidth="1"/>
    <col min="16" max="16" width="11.453125" style="603" customWidth="1"/>
    <col min="17" max="17" width="8.453125" style="603" customWidth="1"/>
    <col min="18" max="18" width="7.1796875" style="603" customWidth="1"/>
    <col min="19" max="19" width="13.81640625" style="603" customWidth="1"/>
    <col min="20" max="20" width="16" style="718" customWidth="1"/>
    <col min="21" max="21" width="15.81640625" style="603" customWidth="1"/>
    <col min="22" max="22" width="11.26953125" style="603" customWidth="1"/>
    <col min="23" max="23" width="9.453125" style="603" customWidth="1"/>
    <col min="24" max="24" width="9.7265625" style="603" customWidth="1"/>
    <col min="25" max="25" width="6.1796875" style="603" customWidth="1"/>
    <col min="26" max="26" width="9.1796875" style="603" customWidth="1"/>
    <col min="27" max="259" width="11.453125" style="603" customWidth="1"/>
    <col min="260" max="16384" width="9.1796875" style="603"/>
  </cols>
  <sheetData>
    <row r="1" spans="2:26" ht="13" x14ac:dyDescent="0.3">
      <c r="B1" s="911" t="s">
        <v>335</v>
      </c>
      <c r="C1" s="911"/>
      <c r="D1" s="911"/>
      <c r="E1" s="911"/>
      <c r="F1" s="911"/>
      <c r="G1" s="911"/>
      <c r="H1" s="911"/>
      <c r="I1" s="911"/>
      <c r="J1" s="911"/>
      <c r="K1" s="911"/>
      <c r="L1" s="911"/>
      <c r="M1" s="911"/>
      <c r="N1" s="911"/>
      <c r="O1" s="911"/>
      <c r="P1" s="911"/>
      <c r="Q1" s="911"/>
      <c r="R1" s="911"/>
      <c r="S1" s="911"/>
      <c r="T1" s="911"/>
      <c r="U1" s="911"/>
      <c r="V1" s="911"/>
      <c r="W1" s="911"/>
      <c r="X1" s="911"/>
      <c r="Y1" s="911"/>
      <c r="Z1" s="911"/>
    </row>
    <row r="3" spans="2:26" ht="13" x14ac:dyDescent="0.3">
      <c r="B3" s="604" t="s">
        <v>0</v>
      </c>
      <c r="C3" s="604"/>
      <c r="D3" s="604"/>
      <c r="E3" s="605" t="str">
        <f>'FORM F1 SUB - STD BUS'!E3</f>
        <v>PROVISION OF PUBLIC PASSENGER TRANSPORT MKUZE AND SURROUNDING</v>
      </c>
      <c r="G3" s="604"/>
      <c r="H3" s="604"/>
      <c r="I3" s="604"/>
      <c r="J3" s="604"/>
      <c r="K3" s="604"/>
      <c r="L3" s="604"/>
      <c r="M3" s="604"/>
      <c r="N3" s="605"/>
      <c r="O3" s="605"/>
      <c r="P3" s="605"/>
      <c r="Q3" s="605"/>
      <c r="R3" s="605"/>
      <c r="S3" s="605"/>
      <c r="T3" s="606"/>
      <c r="U3" s="605"/>
      <c r="V3" s="605"/>
      <c r="W3" s="605"/>
      <c r="X3" s="605"/>
      <c r="Y3" s="604"/>
      <c r="Z3" s="605"/>
    </row>
    <row r="4" spans="2:26" ht="13" x14ac:dyDescent="0.3">
      <c r="B4" s="607"/>
      <c r="C4" s="607"/>
      <c r="D4" s="604"/>
      <c r="E4" s="608"/>
      <c r="F4" s="605"/>
      <c r="G4" s="605"/>
      <c r="H4" s="605"/>
      <c r="I4" s="605"/>
      <c r="J4" s="605"/>
      <c r="L4" s="605"/>
      <c r="M4" s="605"/>
      <c r="N4" s="605"/>
      <c r="O4" s="605"/>
      <c r="P4" s="605"/>
      <c r="Q4" s="605"/>
      <c r="R4" s="605"/>
      <c r="S4" s="605"/>
      <c r="T4" s="606"/>
      <c r="U4" s="605"/>
      <c r="V4" s="605"/>
      <c r="W4" s="605"/>
      <c r="X4" s="605"/>
      <c r="Y4" s="605"/>
      <c r="Z4" s="605"/>
    </row>
    <row r="5" spans="2:26" ht="13" x14ac:dyDescent="0.3">
      <c r="B5" s="604" t="str">
        <f>'FORM F1 SUB - STD BUS'!B5</f>
        <v>CONTRACT : ZNT 1129</v>
      </c>
      <c r="C5" s="604"/>
      <c r="D5" s="604"/>
      <c r="E5" s="608"/>
      <c r="F5" s="605"/>
      <c r="G5" s="605"/>
      <c r="H5" s="605"/>
      <c r="I5" s="605"/>
      <c r="J5" s="605"/>
      <c r="K5" s="605"/>
      <c r="L5" s="605"/>
      <c r="M5" s="604" t="s">
        <v>2</v>
      </c>
      <c r="N5" s="605"/>
      <c r="O5" s="605" t="str">
        <f>'FORM F1 SUB - STD BUS'!O5</f>
        <v>Ripple Effect 40 (Pty) Ltd</v>
      </c>
      <c r="P5" s="605"/>
      <c r="Q5" s="605"/>
      <c r="R5" s="605"/>
      <c r="S5" s="605"/>
      <c r="T5" s="606"/>
      <c r="U5" s="605"/>
      <c r="V5" s="605"/>
      <c r="W5" s="605"/>
      <c r="X5" s="605"/>
      <c r="Y5" s="605"/>
      <c r="Z5" s="605"/>
    </row>
    <row r="6" spans="2:26" ht="13" x14ac:dyDescent="0.3">
      <c r="B6" s="604"/>
      <c r="C6" s="604"/>
      <c r="D6" s="604"/>
      <c r="E6" s="608"/>
      <c r="F6" s="605"/>
      <c r="G6" s="605"/>
      <c r="H6" s="605"/>
      <c r="I6" s="605"/>
      <c r="J6" s="605"/>
      <c r="K6" s="605"/>
      <c r="L6" s="605"/>
      <c r="M6" s="604"/>
      <c r="N6" s="605"/>
      <c r="O6" s="605"/>
      <c r="P6" s="605"/>
      <c r="Q6" s="605"/>
      <c r="R6" s="605"/>
      <c r="S6" s="605"/>
      <c r="T6" s="606"/>
      <c r="U6" s="605"/>
      <c r="V6" s="605"/>
      <c r="W6" s="605"/>
      <c r="X6" s="605"/>
      <c r="Y6" s="605"/>
      <c r="Z6" s="605"/>
    </row>
    <row r="7" spans="2:26" ht="13" x14ac:dyDescent="0.3">
      <c r="B7" s="604" t="s">
        <v>143</v>
      </c>
      <c r="C7" s="604"/>
      <c r="D7" s="604"/>
      <c r="E7" s="609">
        <f>'FORM F1 SUB - STD BUS'!E7</f>
        <v>320</v>
      </c>
      <c r="F7" s="609"/>
      <c r="G7" s="605"/>
      <c r="H7" s="610"/>
      <c r="I7" s="610"/>
      <c r="J7" s="610"/>
      <c r="K7" s="610"/>
      <c r="L7" s="605"/>
      <c r="M7" s="604" t="s">
        <v>4</v>
      </c>
      <c r="N7" s="611"/>
      <c r="O7" s="727">
        <f>'FORM F1 SUB - STD BUS'!O7</f>
        <v>45778</v>
      </c>
      <c r="P7" s="605"/>
      <c r="Q7" s="605"/>
      <c r="R7" s="605"/>
      <c r="S7" s="605"/>
      <c r="T7" s="606"/>
      <c r="U7" s="605"/>
      <c r="V7" s="605"/>
      <c r="W7" s="605"/>
      <c r="X7" s="605"/>
      <c r="Y7" s="605"/>
      <c r="Z7" s="605"/>
    </row>
    <row r="8" spans="2:26" x14ac:dyDescent="0.25">
      <c r="E8" s="608"/>
      <c r="O8" s="605"/>
      <c r="P8" s="605"/>
      <c r="Q8" s="605"/>
      <c r="R8" s="605"/>
      <c r="S8" s="605"/>
      <c r="T8" s="606"/>
      <c r="U8" s="605"/>
      <c r="V8" s="605"/>
      <c r="W8" s="605"/>
      <c r="X8" s="605"/>
      <c r="Y8" s="605"/>
      <c r="Z8" s="605"/>
    </row>
    <row r="9" spans="2:26" ht="13" x14ac:dyDescent="0.3">
      <c r="B9" s="604" t="s">
        <v>336</v>
      </c>
      <c r="C9" s="604"/>
      <c r="O9" s="912"/>
      <c r="P9" s="912"/>
      <c r="Q9" s="912"/>
      <c r="R9" s="605"/>
      <c r="S9" s="605"/>
      <c r="T9" s="606"/>
      <c r="U9" s="605"/>
      <c r="V9" s="605"/>
      <c r="W9" s="605"/>
      <c r="X9" s="605"/>
      <c r="Y9" s="605"/>
      <c r="Z9" s="605"/>
    </row>
    <row r="10" spans="2:26" ht="13" thickBot="1" x14ac:dyDescent="0.3">
      <c r="D10" s="605"/>
      <c r="E10" s="605"/>
      <c r="F10" s="605"/>
      <c r="G10" s="605"/>
      <c r="H10" s="605"/>
      <c r="I10" s="605"/>
      <c r="J10" s="605"/>
      <c r="K10" s="605"/>
      <c r="L10" s="605"/>
      <c r="M10" s="605"/>
      <c r="N10" s="605"/>
      <c r="O10" s="605"/>
      <c r="P10" s="605"/>
      <c r="Q10" s="605"/>
      <c r="R10" s="605"/>
      <c r="S10" s="605"/>
      <c r="T10" s="606"/>
      <c r="U10" s="605"/>
      <c r="V10" s="605"/>
      <c r="W10" s="605"/>
      <c r="X10" s="605"/>
      <c r="Y10" s="605"/>
      <c r="Z10" s="605"/>
    </row>
    <row r="11" spans="2:26" ht="13" thickBot="1" x14ac:dyDescent="0.3">
      <c r="B11" s="612"/>
      <c r="C11" s="613"/>
      <c r="D11" s="613"/>
      <c r="E11" s="613"/>
      <c r="F11" s="612"/>
      <c r="G11" s="613"/>
      <c r="H11" s="613"/>
      <c r="I11" s="613"/>
      <c r="J11" s="613"/>
      <c r="K11" s="614"/>
      <c r="L11" s="615"/>
      <c r="M11" s="613"/>
      <c r="N11" s="614"/>
      <c r="O11" s="612"/>
      <c r="P11" s="613"/>
      <c r="Q11" s="613"/>
      <c r="R11" s="613"/>
      <c r="S11" s="612"/>
      <c r="T11" s="613"/>
      <c r="U11" s="613"/>
      <c r="V11" s="613"/>
      <c r="W11" s="613"/>
      <c r="X11" s="614"/>
      <c r="Y11" s="616"/>
      <c r="Z11" s="617"/>
    </row>
    <row r="12" spans="2:26" ht="13" thickBot="1" x14ac:dyDescent="0.3">
      <c r="B12" s="618"/>
      <c r="C12" s="606"/>
      <c r="D12" s="619" t="s">
        <v>43</v>
      </c>
      <c r="E12" s="619"/>
      <c r="F12" s="913" t="s">
        <v>44</v>
      </c>
      <c r="G12" s="914"/>
      <c r="H12" s="914"/>
      <c r="I12" s="914"/>
      <c r="J12" s="914"/>
      <c r="K12" s="915"/>
      <c r="L12" s="620" t="s">
        <v>45</v>
      </c>
      <c r="M12" s="619" t="s">
        <v>46</v>
      </c>
      <c r="N12" s="621"/>
      <c r="O12" s="916" t="s">
        <v>47</v>
      </c>
      <c r="P12" s="917"/>
      <c r="Q12" s="917"/>
      <c r="R12" s="917"/>
      <c r="S12" s="622" t="s">
        <v>230</v>
      </c>
      <c r="T12" s="619"/>
      <c r="U12" s="623"/>
      <c r="V12" s="623"/>
      <c r="W12" s="623"/>
      <c r="X12" s="623"/>
      <c r="Y12" s="624" t="s">
        <v>48</v>
      </c>
      <c r="Z12" s="625"/>
    </row>
    <row r="13" spans="2:26" x14ac:dyDescent="0.25">
      <c r="B13" s="626"/>
      <c r="C13" s="627"/>
      <c r="D13" s="628"/>
      <c r="E13" s="629"/>
      <c r="F13" s="630"/>
      <c r="G13" s="630"/>
      <c r="H13" s="630"/>
      <c r="I13" s="630"/>
      <c r="J13" s="631"/>
      <c r="K13" s="631"/>
      <c r="L13" s="632" t="s">
        <v>49</v>
      </c>
      <c r="M13" s="633"/>
      <c r="N13" s="634"/>
      <c r="O13" s="635"/>
      <c r="P13" s="636"/>
      <c r="Q13" s="636"/>
      <c r="R13" s="637" t="s">
        <v>50</v>
      </c>
      <c r="S13" s="635"/>
      <c r="T13" s="638"/>
      <c r="U13" s="636"/>
      <c r="V13" s="639" t="s">
        <v>50</v>
      </c>
      <c r="W13" s="639" t="s">
        <v>50</v>
      </c>
      <c r="X13" s="637" t="s">
        <v>50</v>
      </c>
      <c r="Y13" s="640"/>
      <c r="Z13" s="641"/>
    </row>
    <row r="14" spans="2:26" x14ac:dyDescent="0.25">
      <c r="B14" s="642" t="s">
        <v>51</v>
      </c>
      <c r="C14" s="643" t="s">
        <v>262</v>
      </c>
      <c r="D14" s="644" t="s">
        <v>52</v>
      </c>
      <c r="E14" s="645" t="s">
        <v>53</v>
      </c>
      <c r="F14" s="646" t="s">
        <v>54</v>
      </c>
      <c r="G14" s="646" t="s">
        <v>55</v>
      </c>
      <c r="H14" s="646" t="s">
        <v>88</v>
      </c>
      <c r="I14" s="646" t="s">
        <v>265</v>
      </c>
      <c r="J14" s="647" t="s">
        <v>267</v>
      </c>
      <c r="K14" s="647" t="s">
        <v>56</v>
      </c>
      <c r="L14" s="632"/>
      <c r="M14" s="648" t="s">
        <v>54</v>
      </c>
      <c r="N14" s="649" t="s">
        <v>56</v>
      </c>
      <c r="O14" s="650" t="s">
        <v>57</v>
      </c>
      <c r="P14" s="651" t="s">
        <v>58</v>
      </c>
      <c r="Q14" s="651" t="s">
        <v>26</v>
      </c>
      <c r="R14" s="652" t="s">
        <v>231</v>
      </c>
      <c r="S14" s="650" t="s">
        <v>57</v>
      </c>
      <c r="T14" s="653" t="s">
        <v>58</v>
      </c>
      <c r="U14" s="651" t="s">
        <v>26</v>
      </c>
      <c r="V14" s="651" t="s">
        <v>232</v>
      </c>
      <c r="W14" s="651" t="s">
        <v>233</v>
      </c>
      <c r="X14" s="652" t="s">
        <v>234</v>
      </c>
      <c r="Y14" s="650" t="s">
        <v>59</v>
      </c>
      <c r="Z14" s="654" t="s">
        <v>60</v>
      </c>
    </row>
    <row r="15" spans="2:26" x14ac:dyDescent="0.25">
      <c r="B15" s="655"/>
      <c r="C15" s="656"/>
      <c r="D15" s="657"/>
      <c r="E15" s="658"/>
      <c r="F15" s="659" t="s">
        <v>61</v>
      </c>
      <c r="G15" s="660"/>
      <c r="H15" s="659" t="s">
        <v>89</v>
      </c>
      <c r="I15" s="661" t="s">
        <v>266</v>
      </c>
      <c r="J15" s="662" t="s">
        <v>268</v>
      </c>
      <c r="K15" s="663"/>
      <c r="L15" s="664"/>
      <c r="M15" s="665" t="s">
        <v>272</v>
      </c>
      <c r="N15" s="666" t="s">
        <v>273</v>
      </c>
      <c r="O15" s="667"/>
      <c r="P15" s="668"/>
      <c r="Q15" s="668" t="s">
        <v>269</v>
      </c>
      <c r="R15" s="669" t="s">
        <v>274</v>
      </c>
      <c r="S15" s="667"/>
      <c r="T15" s="660"/>
      <c r="U15" s="668" t="s">
        <v>270</v>
      </c>
      <c r="V15" s="670" t="s">
        <v>271</v>
      </c>
      <c r="W15" s="670" t="s">
        <v>275</v>
      </c>
      <c r="X15" s="669" t="s">
        <v>276</v>
      </c>
      <c r="Y15" s="667"/>
      <c r="Z15" s="671" t="s">
        <v>277</v>
      </c>
    </row>
    <row r="16" spans="2:26" ht="13" thickBot="1" x14ac:dyDescent="0.3">
      <c r="B16" s="672" t="s">
        <v>20</v>
      </c>
      <c r="C16" s="673">
        <f t="shared" ref="C16:Z16" si="0">B16+1</f>
        <v>2</v>
      </c>
      <c r="D16" s="673">
        <f>C16+1</f>
        <v>3</v>
      </c>
      <c r="E16" s="674">
        <f t="shared" si="0"/>
        <v>4</v>
      </c>
      <c r="F16" s="675">
        <f t="shared" si="0"/>
        <v>5</v>
      </c>
      <c r="G16" s="676">
        <f t="shared" si="0"/>
        <v>6</v>
      </c>
      <c r="H16" s="676">
        <f t="shared" si="0"/>
        <v>7</v>
      </c>
      <c r="I16" s="676">
        <f t="shared" si="0"/>
        <v>8</v>
      </c>
      <c r="J16" s="677">
        <f t="shared" si="0"/>
        <v>9</v>
      </c>
      <c r="K16" s="678">
        <f t="shared" si="0"/>
        <v>10</v>
      </c>
      <c r="L16" s="679">
        <f t="shared" si="0"/>
        <v>11</v>
      </c>
      <c r="M16" s="767">
        <f t="shared" si="0"/>
        <v>12</v>
      </c>
      <c r="N16" s="768">
        <f t="shared" si="0"/>
        <v>13</v>
      </c>
      <c r="O16" s="680">
        <f t="shared" si="0"/>
        <v>14</v>
      </c>
      <c r="P16" s="673">
        <f t="shared" si="0"/>
        <v>15</v>
      </c>
      <c r="Q16" s="673">
        <f t="shared" si="0"/>
        <v>16</v>
      </c>
      <c r="R16" s="674">
        <f t="shared" si="0"/>
        <v>17</v>
      </c>
      <c r="S16" s="680">
        <f t="shared" si="0"/>
        <v>18</v>
      </c>
      <c r="T16" s="673">
        <f t="shared" si="0"/>
        <v>19</v>
      </c>
      <c r="U16" s="673">
        <f t="shared" si="0"/>
        <v>20</v>
      </c>
      <c r="V16" s="673">
        <f t="shared" si="0"/>
        <v>21</v>
      </c>
      <c r="W16" s="673">
        <f t="shared" si="0"/>
        <v>22</v>
      </c>
      <c r="X16" s="674">
        <f t="shared" si="0"/>
        <v>23</v>
      </c>
      <c r="Y16" s="680">
        <f t="shared" si="0"/>
        <v>24</v>
      </c>
      <c r="Z16" s="674">
        <f t="shared" si="0"/>
        <v>25</v>
      </c>
    </row>
    <row r="17" spans="1:27" x14ac:dyDescent="0.25">
      <c r="A17" t="str">
        <f>CONCATENATE(B17,C17)</f>
        <v>4R</v>
      </c>
      <c r="B17" s="681">
        <v>4</v>
      </c>
      <c r="C17" s="681" t="s">
        <v>263</v>
      </c>
      <c r="D17" s="681" t="s">
        <v>393</v>
      </c>
      <c r="E17" s="682" t="s">
        <v>355</v>
      </c>
      <c r="F17" s="683">
        <f>VLOOKUP(B17,'FORM I2 UNSUB STD '!$B$16:$O$20,14,FALSE)</f>
        <v>42</v>
      </c>
      <c r="G17" s="684"/>
      <c r="H17" s="684"/>
      <c r="I17" s="684"/>
      <c r="J17" s="769"/>
      <c r="K17" s="771">
        <f>F17-G17-H17-I17-J17-Y17</f>
        <v>42</v>
      </c>
      <c r="L17" s="777">
        <v>98.9</v>
      </c>
      <c r="M17" s="685">
        <f>F17*L17</f>
        <v>4153.8</v>
      </c>
      <c r="N17" s="686">
        <f>K17*L17</f>
        <v>4153.8</v>
      </c>
      <c r="O17" s="810">
        <v>1896</v>
      </c>
      <c r="P17" s="796"/>
      <c r="Q17" s="687">
        <f>O17+P17</f>
        <v>1896</v>
      </c>
      <c r="R17" s="688">
        <f>Q17/K17</f>
        <v>45.142857142857146</v>
      </c>
      <c r="S17" s="811">
        <v>16002.5</v>
      </c>
      <c r="T17" s="797"/>
      <c r="U17" s="689">
        <f>SUM(S17:T17)</f>
        <v>16002.5</v>
      </c>
      <c r="V17" s="689">
        <f>U17/K17</f>
        <v>381.01190476190476</v>
      </c>
      <c r="W17" s="689">
        <f>U17/N17</f>
        <v>3.8524965092204728</v>
      </c>
      <c r="X17" s="690">
        <f>IF(Q17&gt;0,U17/Q17,0)</f>
        <v>8.4401371308016877</v>
      </c>
      <c r="Y17" s="691"/>
      <c r="Z17" s="692">
        <f t="shared" ref="Z17" si="1">SUM(Y17*L17)</f>
        <v>0</v>
      </c>
    </row>
    <row r="18" spans="1:27" x14ac:dyDescent="0.25">
      <c r="A18" t="str">
        <f t="shared" ref="A18:A21" si="2">CONCATENATE(B18,C18)</f>
        <v>8F</v>
      </c>
      <c r="B18" s="681">
        <v>8</v>
      </c>
      <c r="C18" s="681" t="s">
        <v>264</v>
      </c>
      <c r="D18" s="681" t="s">
        <v>382</v>
      </c>
      <c r="E18" s="682" t="s">
        <v>356</v>
      </c>
      <c r="F18" s="693">
        <f>VLOOKUP(B18,'FORM I2 UNSUB STD '!$B$16:$O$20,14,FALSE)</f>
        <v>10</v>
      </c>
      <c r="G18" s="694"/>
      <c r="H18" s="694"/>
      <c r="I18" s="694"/>
      <c r="J18" s="770"/>
      <c r="K18" s="772">
        <f t="shared" ref="K18:K21" si="3">F18-G18-H18-I18-J18-Y18</f>
        <v>10</v>
      </c>
      <c r="L18" s="777">
        <v>78.8</v>
      </c>
      <c r="M18" s="695">
        <f t="shared" ref="M18:M21" si="4">F18*L18</f>
        <v>788</v>
      </c>
      <c r="N18" s="696">
        <f t="shared" ref="N18:N21" si="5">K18*L18</f>
        <v>788</v>
      </c>
      <c r="O18" s="810">
        <v>452</v>
      </c>
      <c r="P18" s="796"/>
      <c r="Q18" s="687">
        <f t="shared" ref="Q18:Q21" si="6">O18+P18</f>
        <v>452</v>
      </c>
      <c r="R18" s="688">
        <f t="shared" ref="R18:R21" si="7">Q18/K18</f>
        <v>45.2</v>
      </c>
      <c r="S18" s="811">
        <v>5846</v>
      </c>
      <c r="T18" s="797"/>
      <c r="U18" s="689">
        <f t="shared" ref="U18:U21" si="8">SUM(S18:T18)</f>
        <v>5846</v>
      </c>
      <c r="V18" s="689">
        <f t="shared" ref="V18:V21" si="9">U18/K18</f>
        <v>584.6</v>
      </c>
      <c r="W18" s="689">
        <f t="shared" ref="W18:W21" si="10">U18/N18</f>
        <v>7.4187817258883246</v>
      </c>
      <c r="X18" s="690">
        <f t="shared" ref="X18:X21" si="11">IF(Q18&gt;0,U18/Q18,0)</f>
        <v>12.93362831858407</v>
      </c>
      <c r="Y18" s="691"/>
      <c r="Z18" s="692">
        <f t="shared" ref="Z18:Z21" si="12">SUM(Y18*L18)</f>
        <v>0</v>
      </c>
    </row>
    <row r="19" spans="1:27" x14ac:dyDescent="0.25">
      <c r="A19" t="str">
        <f t="shared" si="2"/>
        <v>11AR</v>
      </c>
      <c r="B19" s="681" t="s">
        <v>390</v>
      </c>
      <c r="C19" s="681" t="s">
        <v>263</v>
      </c>
      <c r="D19" s="681" t="s">
        <v>394</v>
      </c>
      <c r="E19" s="682" t="s">
        <v>395</v>
      </c>
      <c r="F19" s="693">
        <f>VLOOKUP(B19,'FORM I2 UNSUB STD '!$B$16:$O$20,14,FALSE)</f>
        <v>42</v>
      </c>
      <c r="G19" s="694"/>
      <c r="H19" s="694"/>
      <c r="I19" s="694"/>
      <c r="J19" s="770"/>
      <c r="K19" s="772">
        <f t="shared" si="3"/>
        <v>42</v>
      </c>
      <c r="L19" s="777">
        <v>125.6</v>
      </c>
      <c r="M19" s="695">
        <f t="shared" si="4"/>
        <v>5275.2</v>
      </c>
      <c r="N19" s="696">
        <f t="shared" si="5"/>
        <v>5275.2</v>
      </c>
      <c r="O19" s="810">
        <v>1903</v>
      </c>
      <c r="P19" s="796"/>
      <c r="Q19" s="687">
        <f t="shared" si="6"/>
        <v>1903</v>
      </c>
      <c r="R19" s="688">
        <f t="shared" si="7"/>
        <v>45.30952380952381</v>
      </c>
      <c r="S19" s="811">
        <v>44034.5</v>
      </c>
      <c r="T19" s="797"/>
      <c r="U19" s="689">
        <f t="shared" si="8"/>
        <v>44034.5</v>
      </c>
      <c r="V19" s="689">
        <f t="shared" si="9"/>
        <v>1048.4404761904761</v>
      </c>
      <c r="W19" s="689">
        <f t="shared" si="10"/>
        <v>8.3474560206248114</v>
      </c>
      <c r="X19" s="690">
        <f t="shared" si="11"/>
        <v>23.139516552811351</v>
      </c>
      <c r="Y19" s="691"/>
      <c r="Z19" s="692">
        <f t="shared" si="12"/>
        <v>0</v>
      </c>
    </row>
    <row r="20" spans="1:27" x14ac:dyDescent="0.25">
      <c r="A20" t="str">
        <f t="shared" si="2"/>
        <v>11BF</v>
      </c>
      <c r="B20" s="681" t="s">
        <v>391</v>
      </c>
      <c r="C20" s="681" t="s">
        <v>264</v>
      </c>
      <c r="D20" s="681" t="s">
        <v>382</v>
      </c>
      <c r="E20" s="682" t="s">
        <v>395</v>
      </c>
      <c r="F20" s="693">
        <f>VLOOKUP(B20,'FORM I2 UNSUB STD '!$B$16:$O$20,14,FALSE)</f>
        <v>18</v>
      </c>
      <c r="G20" s="694"/>
      <c r="H20" s="694"/>
      <c r="I20" s="694"/>
      <c r="J20" s="770"/>
      <c r="K20" s="772">
        <f t="shared" si="3"/>
        <v>18</v>
      </c>
      <c r="L20" s="777">
        <v>224.9</v>
      </c>
      <c r="M20" s="695">
        <f t="shared" si="4"/>
        <v>4048.2000000000003</v>
      </c>
      <c r="N20" s="696">
        <f t="shared" si="5"/>
        <v>4048.2000000000003</v>
      </c>
      <c r="O20" s="810"/>
      <c r="P20" s="796"/>
      <c r="Q20" s="687">
        <f t="shared" si="6"/>
        <v>0</v>
      </c>
      <c r="R20" s="688">
        <f t="shared" si="7"/>
        <v>0</v>
      </c>
      <c r="S20" s="811"/>
      <c r="T20" s="797"/>
      <c r="U20" s="689">
        <f t="shared" si="8"/>
        <v>0</v>
      </c>
      <c r="V20" s="689">
        <f t="shared" si="9"/>
        <v>0</v>
      </c>
      <c r="W20" s="689">
        <f t="shared" si="10"/>
        <v>0</v>
      </c>
      <c r="X20" s="690">
        <f t="shared" si="11"/>
        <v>0</v>
      </c>
      <c r="Y20" s="691"/>
      <c r="Z20" s="692">
        <f t="shared" si="12"/>
        <v>0</v>
      </c>
    </row>
    <row r="21" spans="1:27" x14ac:dyDescent="0.25">
      <c r="A21" t="str">
        <f t="shared" si="2"/>
        <v>19AR</v>
      </c>
      <c r="B21" s="681" t="s">
        <v>392</v>
      </c>
      <c r="C21" s="681" t="s">
        <v>263</v>
      </c>
      <c r="D21" s="681" t="s">
        <v>394</v>
      </c>
      <c r="E21" s="682" t="s">
        <v>396</v>
      </c>
      <c r="F21" s="693">
        <f>VLOOKUP(B21,'FORM I2 UNSUB STD '!$B$16:$O$20,14,FALSE)</f>
        <v>52</v>
      </c>
      <c r="G21" s="694"/>
      <c r="H21" s="694"/>
      <c r="I21" s="694"/>
      <c r="J21" s="770"/>
      <c r="K21" s="772">
        <f t="shared" si="3"/>
        <v>52</v>
      </c>
      <c r="L21" s="777">
        <v>40</v>
      </c>
      <c r="M21" s="695">
        <f t="shared" si="4"/>
        <v>2080</v>
      </c>
      <c r="N21" s="696">
        <f t="shared" si="5"/>
        <v>2080</v>
      </c>
      <c r="O21" s="810">
        <v>2384</v>
      </c>
      <c r="P21" s="796"/>
      <c r="Q21" s="687">
        <f t="shared" si="6"/>
        <v>2384</v>
      </c>
      <c r="R21" s="688">
        <f t="shared" si="7"/>
        <v>45.846153846153847</v>
      </c>
      <c r="S21" s="811">
        <v>26407.5</v>
      </c>
      <c r="T21" s="797"/>
      <c r="U21" s="689">
        <f t="shared" si="8"/>
        <v>26407.5</v>
      </c>
      <c r="V21" s="689">
        <f t="shared" si="9"/>
        <v>507.83653846153845</v>
      </c>
      <c r="W21" s="689">
        <f t="shared" si="10"/>
        <v>12.695913461538462</v>
      </c>
      <c r="X21" s="690">
        <f t="shared" si="11"/>
        <v>11.076971476510067</v>
      </c>
      <c r="Y21" s="691"/>
      <c r="Z21" s="692">
        <f t="shared" si="12"/>
        <v>0</v>
      </c>
    </row>
    <row r="22" spans="1:27" ht="13.5" thickBot="1" x14ac:dyDescent="0.3">
      <c r="B22" s="918"/>
      <c r="C22" s="919"/>
      <c r="D22" s="919"/>
      <c r="E22" s="919"/>
      <c r="F22" s="920"/>
      <c r="G22" s="921"/>
      <c r="H22" s="921"/>
      <c r="I22" s="921"/>
      <c r="J22" s="922"/>
      <c r="K22" s="773"/>
      <c r="L22" s="697"/>
      <c r="M22" s="923"/>
      <c r="N22" s="924"/>
      <c r="O22" s="925"/>
      <c r="P22" s="925"/>
      <c r="Q22" s="925"/>
      <c r="R22" s="926"/>
      <c r="S22" s="904"/>
      <c r="T22" s="905"/>
      <c r="U22" s="905"/>
      <c r="V22" s="905"/>
      <c r="W22" s="905"/>
      <c r="X22" s="906"/>
      <c r="Y22" s="927"/>
      <c r="Z22" s="928"/>
    </row>
    <row r="23" spans="1:27" ht="13" thickBot="1" x14ac:dyDescent="0.3">
      <c r="B23" s="698" t="s">
        <v>62</v>
      </c>
      <c r="C23" s="699"/>
      <c r="D23" s="700"/>
      <c r="E23" s="700"/>
      <c r="F23" s="701">
        <f t="shared" ref="F23:K23" si="13">SUM(F17:F21)</f>
        <v>164</v>
      </c>
      <c r="G23" s="702">
        <f t="shared" si="13"/>
        <v>0</v>
      </c>
      <c r="H23" s="702">
        <f t="shared" si="13"/>
        <v>0</v>
      </c>
      <c r="I23" s="702">
        <f t="shared" si="13"/>
        <v>0</v>
      </c>
      <c r="J23" s="703">
        <f t="shared" si="13"/>
        <v>0</v>
      </c>
      <c r="K23" s="704">
        <f t="shared" si="13"/>
        <v>164</v>
      </c>
      <c r="L23" s="704"/>
      <c r="M23" s="705">
        <f>SUM(M17:M21)</f>
        <v>16345.2</v>
      </c>
      <c r="N23" s="706">
        <f>SUM(N17:N21)</f>
        <v>16345.2</v>
      </c>
      <c r="O23" s="701">
        <f>SUM(O17:O21)</f>
        <v>6635</v>
      </c>
      <c r="P23" s="702">
        <f>SUM(P17:P21)</f>
        <v>0</v>
      </c>
      <c r="Q23" s="702">
        <f>SUM(Q17:Q21)</f>
        <v>6635</v>
      </c>
      <c r="R23" s="707">
        <f>Q23/K23</f>
        <v>40.457317073170735</v>
      </c>
      <c r="S23" s="708">
        <f>SUM(S17:S21)</f>
        <v>92290.5</v>
      </c>
      <c r="T23" s="437">
        <f>SUM(T17:T21)</f>
        <v>0</v>
      </c>
      <c r="U23" s="709">
        <f>SUM(U17:U21)</f>
        <v>92290.5</v>
      </c>
      <c r="V23" s="710">
        <f>U23/K23</f>
        <v>562.7469512195122</v>
      </c>
      <c r="W23" s="711">
        <f>U23/N23</f>
        <v>5.6463365391674616</v>
      </c>
      <c r="X23" s="712">
        <f>IF(Q23&gt;0,U23/Q23,0)</f>
        <v>13.909645817633761</v>
      </c>
      <c r="Y23" s="701">
        <f>SUM(Y17:Y21)</f>
        <v>0</v>
      </c>
      <c r="Z23" s="713">
        <f>SUM(Z17:Z21)</f>
        <v>0</v>
      </c>
      <c r="AA23" s="714"/>
    </row>
    <row r="24" spans="1:27" x14ac:dyDescent="0.25">
      <c r="M24" s="715"/>
      <c r="N24" s="716"/>
      <c r="O24" s="717"/>
      <c r="P24" s="717"/>
    </row>
    <row r="25" spans="1:27" x14ac:dyDescent="0.25">
      <c r="M25" s="715"/>
      <c r="N25" s="719"/>
      <c r="O25" s="717"/>
      <c r="P25" s="717"/>
    </row>
    <row r="26" spans="1:27" x14ac:dyDescent="0.25">
      <c r="H26" s="608"/>
      <c r="I26" s="608"/>
      <c r="J26" s="608"/>
      <c r="N26" s="716"/>
      <c r="O26" s="717"/>
      <c r="P26" s="717"/>
    </row>
    <row r="27" spans="1:27" x14ac:dyDescent="0.25">
      <c r="O27" s="717"/>
      <c r="P27" s="717"/>
    </row>
    <row r="28" spans="1:27" x14ac:dyDescent="0.25">
      <c r="O28" s="717"/>
      <c r="P28" s="717"/>
    </row>
    <row r="29" spans="1:27" x14ac:dyDescent="0.25">
      <c r="O29" s="717"/>
      <c r="P29" s="717"/>
    </row>
    <row r="30" spans="1:27" x14ac:dyDescent="0.25">
      <c r="O30" s="717"/>
      <c r="P30" s="717"/>
    </row>
    <row r="31" spans="1:27" x14ac:dyDescent="0.25">
      <c r="J31" s="719">
        <f>I32-N23</f>
        <v>141384.00000000012</v>
      </c>
      <c r="O31" s="717"/>
      <c r="P31" s="717"/>
    </row>
    <row r="32" spans="1:27" x14ac:dyDescent="0.25">
      <c r="H32" s="720">
        <f>'[2]FORM I1 SUB STD NORMAL'!N186+'[2]FORM I1 SUB STD SCHOOL H'!N183+'[2]FORM I1 SUB STD PUBLIC HOLIDAY'!O186</f>
        <v>4282</v>
      </c>
      <c r="I32" s="909">
        <f>'[2]FORM I1 SUB STD NORMAL'!O186+'[2]FORM I1 SUB STD SCHOOL H'!O183+'[2]FORM I1 SUB STD PUBLIC HOLIDAY'!P186</f>
        <v>157729.20000000013</v>
      </c>
      <c r="J32" s="909"/>
      <c r="O32" s="717"/>
      <c r="P32" s="717"/>
    </row>
    <row r="33" spans="9:16" x14ac:dyDescent="0.25">
      <c r="I33" s="910"/>
      <c r="J33" s="910"/>
      <c r="O33" s="717"/>
      <c r="P33" s="717"/>
    </row>
    <row r="34" spans="9:16" x14ac:dyDescent="0.25">
      <c r="O34" s="717"/>
      <c r="P34" s="717"/>
    </row>
    <row r="35" spans="9:16" x14ac:dyDescent="0.25">
      <c r="O35" s="717"/>
      <c r="P35" s="717"/>
    </row>
    <row r="36" spans="9:16" x14ac:dyDescent="0.25">
      <c r="O36" s="717"/>
      <c r="P36" s="717"/>
    </row>
    <row r="37" spans="9:16" x14ac:dyDescent="0.25">
      <c r="O37" s="717"/>
      <c r="P37" s="717"/>
    </row>
    <row r="38" spans="9:16" x14ac:dyDescent="0.25">
      <c r="O38" s="717"/>
      <c r="P38" s="717"/>
    </row>
    <row r="39" spans="9:16" x14ac:dyDescent="0.25">
      <c r="O39" s="717"/>
      <c r="P39" s="717"/>
    </row>
    <row r="40" spans="9:16" x14ac:dyDescent="0.25">
      <c r="O40" s="717"/>
      <c r="P40" s="717"/>
    </row>
    <row r="41" spans="9:16" x14ac:dyDescent="0.25">
      <c r="O41" s="717"/>
      <c r="P41" s="717"/>
    </row>
    <row r="42" spans="9:16" x14ac:dyDescent="0.25">
      <c r="O42" s="717"/>
      <c r="P42" s="717"/>
    </row>
    <row r="43" spans="9:16" x14ac:dyDescent="0.25">
      <c r="O43" s="717"/>
      <c r="P43" s="717"/>
    </row>
    <row r="44" spans="9:16" x14ac:dyDescent="0.25">
      <c r="O44" s="717"/>
      <c r="P44" s="717"/>
    </row>
    <row r="45" spans="9:16" x14ac:dyDescent="0.25">
      <c r="O45" s="717"/>
      <c r="P45" s="717"/>
    </row>
    <row r="46" spans="9:16" x14ac:dyDescent="0.25">
      <c r="O46" s="717"/>
      <c r="P46" s="717"/>
    </row>
    <row r="47" spans="9:16" x14ac:dyDescent="0.25">
      <c r="O47" s="717"/>
      <c r="P47" s="717"/>
    </row>
    <row r="48" spans="9:16" x14ac:dyDescent="0.25">
      <c r="O48" s="717"/>
      <c r="P48" s="717"/>
    </row>
    <row r="49" spans="15:16" x14ac:dyDescent="0.25">
      <c r="O49" s="717"/>
      <c r="P49" s="717"/>
    </row>
    <row r="50" spans="15:16" x14ac:dyDescent="0.25">
      <c r="O50" s="717"/>
      <c r="P50" s="717"/>
    </row>
    <row r="51" spans="15:16" x14ac:dyDescent="0.25">
      <c r="O51" s="717"/>
      <c r="P51" s="717"/>
    </row>
    <row r="52" spans="15:16" x14ac:dyDescent="0.25">
      <c r="O52" s="717"/>
      <c r="P52" s="717"/>
    </row>
    <row r="53" spans="15:16" x14ac:dyDescent="0.25">
      <c r="O53" s="717"/>
      <c r="P53" s="717"/>
    </row>
    <row r="54" spans="15:16" x14ac:dyDescent="0.25">
      <c r="O54" s="717"/>
      <c r="P54" s="717"/>
    </row>
    <row r="55" spans="15:16" x14ac:dyDescent="0.25">
      <c r="O55" s="717"/>
      <c r="P55" s="717"/>
    </row>
    <row r="56" spans="15:16" x14ac:dyDescent="0.25">
      <c r="O56" s="717"/>
      <c r="P56" s="717"/>
    </row>
    <row r="57" spans="15:16" x14ac:dyDescent="0.25">
      <c r="O57" s="717"/>
      <c r="P57" s="717"/>
    </row>
    <row r="58" spans="15:16" x14ac:dyDescent="0.25">
      <c r="O58" s="717"/>
      <c r="P58" s="717"/>
    </row>
    <row r="59" spans="15:16" x14ac:dyDescent="0.25">
      <c r="O59" s="717"/>
      <c r="P59" s="717"/>
    </row>
    <row r="60" spans="15:16" x14ac:dyDescent="0.25">
      <c r="O60" s="717"/>
      <c r="P60" s="717"/>
    </row>
    <row r="61" spans="15:16" x14ac:dyDescent="0.25">
      <c r="O61" s="717"/>
      <c r="P61" s="717"/>
    </row>
    <row r="62" spans="15:16" x14ac:dyDescent="0.25">
      <c r="O62" s="717"/>
      <c r="P62" s="717"/>
    </row>
    <row r="63" spans="15:16" x14ac:dyDescent="0.25">
      <c r="O63" s="717"/>
      <c r="P63" s="717"/>
    </row>
    <row r="64" spans="15:16" x14ac:dyDescent="0.25">
      <c r="O64" s="717"/>
      <c r="P64" s="717"/>
    </row>
    <row r="65" spans="15:16" x14ac:dyDescent="0.25">
      <c r="O65" s="717"/>
      <c r="P65" s="717"/>
    </row>
    <row r="66" spans="15:16" x14ac:dyDescent="0.25">
      <c r="O66" s="717"/>
      <c r="P66" s="717"/>
    </row>
    <row r="67" spans="15:16" x14ac:dyDescent="0.25">
      <c r="O67" s="717"/>
      <c r="P67" s="717"/>
    </row>
    <row r="68" spans="15:16" x14ac:dyDescent="0.25">
      <c r="O68" s="717"/>
      <c r="P68" s="717"/>
    </row>
    <row r="69" spans="15:16" x14ac:dyDescent="0.25">
      <c r="O69" s="717"/>
      <c r="P69" s="717"/>
    </row>
    <row r="70" spans="15:16" x14ac:dyDescent="0.25">
      <c r="O70" s="717"/>
      <c r="P70" s="717"/>
    </row>
    <row r="71" spans="15:16" x14ac:dyDescent="0.25">
      <c r="O71" s="717"/>
      <c r="P71" s="717"/>
    </row>
    <row r="72" spans="15:16" x14ac:dyDescent="0.25">
      <c r="O72" s="717"/>
      <c r="P72" s="717"/>
    </row>
    <row r="73" spans="15:16" x14ac:dyDescent="0.25">
      <c r="O73" s="717"/>
      <c r="P73" s="717"/>
    </row>
    <row r="74" spans="15:16" x14ac:dyDescent="0.25">
      <c r="O74" s="717"/>
      <c r="P74" s="717"/>
    </row>
    <row r="75" spans="15:16" x14ac:dyDescent="0.25">
      <c r="O75" s="717"/>
      <c r="P75" s="717"/>
    </row>
    <row r="76" spans="15:16" x14ac:dyDescent="0.25">
      <c r="O76" s="717"/>
      <c r="P76" s="717"/>
    </row>
    <row r="77" spans="15:16" x14ac:dyDescent="0.25">
      <c r="O77" s="717"/>
      <c r="P77" s="717"/>
    </row>
    <row r="78" spans="15:16" x14ac:dyDescent="0.25">
      <c r="O78" s="717"/>
      <c r="P78" s="717"/>
    </row>
    <row r="79" spans="15:16" x14ac:dyDescent="0.25">
      <c r="O79" s="717"/>
      <c r="P79" s="717"/>
    </row>
    <row r="80" spans="15:16" x14ac:dyDescent="0.25">
      <c r="O80" s="717"/>
      <c r="P80" s="717"/>
    </row>
    <row r="81" spans="15:16" x14ac:dyDescent="0.25">
      <c r="O81" s="717"/>
      <c r="P81" s="717"/>
    </row>
    <row r="82" spans="15:16" x14ac:dyDescent="0.25">
      <c r="O82" s="717"/>
      <c r="P82" s="717"/>
    </row>
    <row r="83" spans="15:16" x14ac:dyDescent="0.25">
      <c r="O83" s="717"/>
      <c r="P83" s="717"/>
    </row>
    <row r="84" spans="15:16" x14ac:dyDescent="0.25">
      <c r="O84" s="717"/>
      <c r="P84" s="717"/>
    </row>
    <row r="85" spans="15:16" x14ac:dyDescent="0.25">
      <c r="O85" s="717"/>
      <c r="P85" s="717"/>
    </row>
    <row r="86" spans="15:16" x14ac:dyDescent="0.25">
      <c r="O86" s="717"/>
      <c r="P86" s="717"/>
    </row>
    <row r="87" spans="15:16" x14ac:dyDescent="0.25">
      <c r="O87" s="717"/>
      <c r="P87" s="717"/>
    </row>
    <row r="88" spans="15:16" x14ac:dyDescent="0.25">
      <c r="O88" s="717"/>
      <c r="P88" s="717"/>
    </row>
    <row r="89" spans="15:16" x14ac:dyDescent="0.25">
      <c r="O89" s="717"/>
      <c r="P89" s="717"/>
    </row>
    <row r="90" spans="15:16" x14ac:dyDescent="0.25">
      <c r="O90" s="717"/>
      <c r="P90" s="717"/>
    </row>
    <row r="91" spans="15:16" x14ac:dyDescent="0.25">
      <c r="O91" s="717"/>
      <c r="P91" s="717"/>
    </row>
    <row r="92" spans="15:16" x14ac:dyDescent="0.25">
      <c r="O92" s="717"/>
      <c r="P92" s="717"/>
    </row>
    <row r="93" spans="15:16" x14ac:dyDescent="0.25">
      <c r="O93" s="717"/>
      <c r="P93" s="717"/>
    </row>
    <row r="94" spans="15:16" x14ac:dyDescent="0.25">
      <c r="O94" s="717"/>
      <c r="P94" s="717"/>
    </row>
    <row r="95" spans="15:16" x14ac:dyDescent="0.25">
      <c r="O95" s="717"/>
      <c r="P95" s="717"/>
    </row>
    <row r="96" spans="15:16" x14ac:dyDescent="0.25">
      <c r="O96" s="717"/>
      <c r="P96" s="717"/>
    </row>
    <row r="97" spans="15:16" x14ac:dyDescent="0.25">
      <c r="O97" s="717"/>
      <c r="P97" s="717"/>
    </row>
    <row r="98" spans="15:16" x14ac:dyDescent="0.25">
      <c r="O98" s="717"/>
      <c r="P98" s="717"/>
    </row>
    <row r="99" spans="15:16" x14ac:dyDescent="0.25">
      <c r="O99" s="717"/>
      <c r="P99" s="717"/>
    </row>
    <row r="100" spans="15:16" x14ac:dyDescent="0.25">
      <c r="O100" s="717"/>
      <c r="P100" s="717"/>
    </row>
    <row r="101" spans="15:16" x14ac:dyDescent="0.25">
      <c r="O101" s="717"/>
      <c r="P101" s="717"/>
    </row>
    <row r="102" spans="15:16" x14ac:dyDescent="0.25">
      <c r="O102" s="717"/>
      <c r="P102" s="717"/>
    </row>
    <row r="103" spans="15:16" x14ac:dyDescent="0.25">
      <c r="O103" s="717"/>
      <c r="P103" s="717"/>
    </row>
    <row r="104" spans="15:16" x14ac:dyDescent="0.25">
      <c r="O104" s="717"/>
      <c r="P104" s="717"/>
    </row>
    <row r="105" spans="15:16" x14ac:dyDescent="0.25">
      <c r="O105" s="717"/>
      <c r="P105" s="717"/>
    </row>
    <row r="106" spans="15:16" x14ac:dyDescent="0.25">
      <c r="O106" s="717"/>
      <c r="P106" s="717"/>
    </row>
    <row r="107" spans="15:16" x14ac:dyDescent="0.25">
      <c r="O107" s="717"/>
      <c r="P107" s="717"/>
    </row>
    <row r="108" spans="15:16" x14ac:dyDescent="0.25">
      <c r="O108" s="717"/>
      <c r="P108" s="717"/>
    </row>
    <row r="109" spans="15:16" x14ac:dyDescent="0.25">
      <c r="O109" s="717"/>
      <c r="P109" s="717"/>
    </row>
    <row r="110" spans="15:16" x14ac:dyDescent="0.25">
      <c r="O110" s="717"/>
      <c r="P110" s="717"/>
    </row>
    <row r="111" spans="15:16" x14ac:dyDescent="0.25">
      <c r="O111" s="717"/>
      <c r="P111" s="717"/>
    </row>
    <row r="112" spans="15:16" x14ac:dyDescent="0.25">
      <c r="O112" s="717"/>
      <c r="P112" s="717"/>
    </row>
    <row r="113" spans="15:16" x14ac:dyDescent="0.25">
      <c r="O113" s="717"/>
      <c r="P113" s="717"/>
    </row>
    <row r="114" spans="15:16" x14ac:dyDescent="0.25">
      <c r="O114" s="717"/>
      <c r="P114" s="717"/>
    </row>
    <row r="115" spans="15:16" x14ac:dyDescent="0.25">
      <c r="O115" s="717"/>
      <c r="P115" s="717"/>
    </row>
    <row r="116" spans="15:16" x14ac:dyDescent="0.25">
      <c r="O116" s="717"/>
      <c r="P116" s="717"/>
    </row>
    <row r="117" spans="15:16" x14ac:dyDescent="0.25">
      <c r="O117" s="717"/>
      <c r="P117" s="717"/>
    </row>
    <row r="118" spans="15:16" x14ac:dyDescent="0.25">
      <c r="O118" s="717"/>
      <c r="P118" s="717"/>
    </row>
    <row r="119" spans="15:16" x14ac:dyDescent="0.25">
      <c r="O119" s="717"/>
      <c r="P119" s="717"/>
    </row>
    <row r="120" spans="15:16" x14ac:dyDescent="0.25">
      <c r="O120" s="717"/>
      <c r="P120" s="717"/>
    </row>
    <row r="121" spans="15:16" x14ac:dyDescent="0.25">
      <c r="O121" s="717"/>
      <c r="P121" s="717"/>
    </row>
    <row r="122" spans="15:16" x14ac:dyDescent="0.25">
      <c r="O122" s="717"/>
      <c r="P122" s="717"/>
    </row>
    <row r="123" spans="15:16" x14ac:dyDescent="0.25">
      <c r="O123" s="717"/>
      <c r="P123" s="717"/>
    </row>
    <row r="124" spans="15:16" x14ac:dyDescent="0.25">
      <c r="O124" s="717"/>
      <c r="P124" s="717"/>
    </row>
    <row r="125" spans="15:16" x14ac:dyDescent="0.25">
      <c r="O125" s="717"/>
      <c r="P125" s="717"/>
    </row>
    <row r="126" spans="15:16" x14ac:dyDescent="0.25">
      <c r="O126" s="717"/>
      <c r="P126" s="717"/>
    </row>
    <row r="127" spans="15:16" x14ac:dyDescent="0.25">
      <c r="O127" s="717"/>
      <c r="P127" s="717"/>
    </row>
    <row r="128" spans="15:16" x14ac:dyDescent="0.25">
      <c r="O128" s="717"/>
      <c r="P128" s="717"/>
    </row>
    <row r="129" spans="15:16" x14ac:dyDescent="0.25">
      <c r="O129" s="717"/>
      <c r="P129" s="717"/>
    </row>
    <row r="130" spans="15:16" x14ac:dyDescent="0.25">
      <c r="O130" s="717"/>
      <c r="P130" s="717"/>
    </row>
    <row r="131" spans="15:16" x14ac:dyDescent="0.25">
      <c r="O131" s="717"/>
      <c r="P131" s="717"/>
    </row>
    <row r="132" spans="15:16" x14ac:dyDescent="0.25">
      <c r="O132" s="717"/>
      <c r="P132" s="717"/>
    </row>
    <row r="133" spans="15:16" x14ac:dyDescent="0.25">
      <c r="O133" s="717"/>
      <c r="P133" s="717"/>
    </row>
    <row r="134" spans="15:16" x14ac:dyDescent="0.25">
      <c r="O134" s="717"/>
      <c r="P134" s="717"/>
    </row>
    <row r="135" spans="15:16" x14ac:dyDescent="0.25">
      <c r="O135" s="717"/>
      <c r="P135" s="717"/>
    </row>
    <row r="136" spans="15:16" x14ac:dyDescent="0.25">
      <c r="O136" s="717"/>
      <c r="P136" s="717"/>
    </row>
    <row r="137" spans="15:16" x14ac:dyDescent="0.25">
      <c r="O137" s="717"/>
      <c r="P137" s="717"/>
    </row>
    <row r="138" spans="15:16" x14ac:dyDescent="0.25">
      <c r="O138" s="717"/>
      <c r="P138" s="717"/>
    </row>
    <row r="139" spans="15:16" x14ac:dyDescent="0.25">
      <c r="O139" s="717"/>
      <c r="P139" s="717"/>
    </row>
    <row r="140" spans="15:16" x14ac:dyDescent="0.25">
      <c r="O140" s="717"/>
      <c r="P140" s="717"/>
    </row>
    <row r="141" spans="15:16" x14ac:dyDescent="0.25">
      <c r="O141" s="717"/>
      <c r="P141" s="717"/>
    </row>
    <row r="142" spans="15:16" x14ac:dyDescent="0.25">
      <c r="O142" s="717"/>
      <c r="P142" s="717"/>
    </row>
    <row r="143" spans="15:16" x14ac:dyDescent="0.25">
      <c r="O143" s="717"/>
      <c r="P143" s="717"/>
    </row>
    <row r="144" spans="15:16" x14ac:dyDescent="0.25">
      <c r="O144" s="717"/>
      <c r="P144" s="717"/>
    </row>
    <row r="145" spans="15:16" x14ac:dyDescent="0.25">
      <c r="O145" s="717"/>
      <c r="P145" s="717"/>
    </row>
    <row r="146" spans="15:16" x14ac:dyDescent="0.25">
      <c r="O146" s="717"/>
      <c r="P146" s="717"/>
    </row>
    <row r="147" spans="15:16" x14ac:dyDescent="0.25">
      <c r="O147" s="717"/>
      <c r="P147" s="717"/>
    </row>
    <row r="148" spans="15:16" x14ac:dyDescent="0.25">
      <c r="O148" s="717"/>
      <c r="P148" s="717"/>
    </row>
    <row r="149" spans="15:16" x14ac:dyDescent="0.25">
      <c r="O149" s="717"/>
      <c r="P149" s="717"/>
    </row>
    <row r="150" spans="15:16" x14ac:dyDescent="0.25">
      <c r="O150" s="717"/>
      <c r="P150" s="717"/>
    </row>
    <row r="151" spans="15:16" x14ac:dyDescent="0.25">
      <c r="O151" s="717"/>
      <c r="P151" s="717"/>
    </row>
    <row r="152" spans="15:16" x14ac:dyDescent="0.25">
      <c r="O152" s="717"/>
      <c r="P152" s="717"/>
    </row>
    <row r="153" spans="15:16" x14ac:dyDescent="0.25">
      <c r="O153" s="717"/>
      <c r="P153" s="717"/>
    </row>
    <row r="154" spans="15:16" x14ac:dyDescent="0.25">
      <c r="O154" s="717"/>
      <c r="P154" s="717"/>
    </row>
    <row r="155" spans="15:16" x14ac:dyDescent="0.25">
      <c r="O155" s="717"/>
      <c r="P155" s="717"/>
    </row>
    <row r="156" spans="15:16" x14ac:dyDescent="0.25">
      <c r="O156" s="717"/>
      <c r="P156" s="717"/>
    </row>
    <row r="157" spans="15:16" x14ac:dyDescent="0.25">
      <c r="O157" s="717"/>
      <c r="P157" s="717"/>
    </row>
    <row r="158" spans="15:16" x14ac:dyDescent="0.25">
      <c r="O158" s="717"/>
      <c r="P158" s="717"/>
    </row>
    <row r="159" spans="15:16" x14ac:dyDescent="0.25">
      <c r="O159" s="717"/>
      <c r="P159" s="717"/>
    </row>
    <row r="160" spans="15:16" x14ac:dyDescent="0.25">
      <c r="O160" s="717"/>
      <c r="P160" s="717"/>
    </row>
    <row r="161" spans="4:16" x14ac:dyDescent="0.25">
      <c r="O161" s="717"/>
      <c r="P161" s="717"/>
    </row>
    <row r="162" spans="4:16" x14ac:dyDescent="0.25">
      <c r="O162" s="717"/>
      <c r="P162" s="717"/>
    </row>
    <row r="163" spans="4:16" x14ac:dyDescent="0.25">
      <c r="O163" s="717"/>
      <c r="P163" s="717"/>
    </row>
    <row r="164" spans="4:16" x14ac:dyDescent="0.25">
      <c r="D164" s="603" t="s">
        <v>37</v>
      </c>
      <c r="O164" s="717"/>
      <c r="P164" s="717"/>
    </row>
    <row r="165" spans="4:16" x14ac:dyDescent="0.25">
      <c r="O165" s="717"/>
      <c r="P165" s="717"/>
    </row>
    <row r="166" spans="4:16" x14ac:dyDescent="0.25">
      <c r="O166" s="717"/>
      <c r="P166" s="717"/>
    </row>
    <row r="167" spans="4:16" x14ac:dyDescent="0.25">
      <c r="O167" s="717"/>
      <c r="P167" s="717"/>
    </row>
    <row r="168" spans="4:16" x14ac:dyDescent="0.25">
      <c r="O168" s="717"/>
      <c r="P168" s="717"/>
    </row>
    <row r="169" spans="4:16" x14ac:dyDescent="0.25">
      <c r="O169" s="717"/>
      <c r="P169" s="717"/>
    </row>
    <row r="170" spans="4:16" x14ac:dyDescent="0.25">
      <c r="O170" s="717"/>
      <c r="P170" s="717"/>
    </row>
    <row r="171" spans="4:16" x14ac:dyDescent="0.25">
      <c r="O171" s="717"/>
      <c r="P171" s="717"/>
    </row>
    <row r="172" spans="4:16" x14ac:dyDescent="0.25">
      <c r="O172" s="717"/>
      <c r="P172" s="717"/>
    </row>
    <row r="173" spans="4:16" x14ac:dyDescent="0.25">
      <c r="O173" s="717"/>
      <c r="P173" s="717"/>
    </row>
    <row r="174" spans="4:16" x14ac:dyDescent="0.25">
      <c r="O174" s="717"/>
      <c r="P174" s="717"/>
    </row>
    <row r="175" spans="4:16" x14ac:dyDescent="0.25">
      <c r="O175" s="717"/>
      <c r="P175" s="717"/>
    </row>
    <row r="176" spans="4:16" x14ac:dyDescent="0.25">
      <c r="O176" s="717"/>
      <c r="P176" s="717"/>
    </row>
    <row r="177" spans="15:16" x14ac:dyDescent="0.25">
      <c r="O177" s="717"/>
      <c r="P177" s="717"/>
    </row>
    <row r="178" spans="15:16" x14ac:dyDescent="0.25">
      <c r="O178" s="717"/>
      <c r="P178" s="717"/>
    </row>
    <row r="179" spans="15:16" x14ac:dyDescent="0.25">
      <c r="O179" s="717"/>
      <c r="P179" s="717"/>
    </row>
    <row r="180" spans="15:16" x14ac:dyDescent="0.25">
      <c r="O180" s="717"/>
      <c r="P180" s="717"/>
    </row>
    <row r="181" spans="15:16" x14ac:dyDescent="0.25">
      <c r="O181" s="717"/>
      <c r="P181" s="717"/>
    </row>
    <row r="182" spans="15:16" x14ac:dyDescent="0.25">
      <c r="O182" s="717"/>
      <c r="P182" s="717"/>
    </row>
    <row r="183" spans="15:16" x14ac:dyDescent="0.25">
      <c r="O183" s="717"/>
      <c r="P183" s="717"/>
    </row>
    <row r="184" spans="15:16" x14ac:dyDescent="0.25">
      <c r="O184" s="717"/>
      <c r="P184" s="717"/>
    </row>
    <row r="185" spans="15:16" x14ac:dyDescent="0.25">
      <c r="O185" s="717"/>
      <c r="P185" s="717"/>
    </row>
    <row r="186" spans="15:16" x14ac:dyDescent="0.25">
      <c r="O186" s="717"/>
      <c r="P186" s="717"/>
    </row>
    <row r="187" spans="15:16" x14ac:dyDescent="0.25">
      <c r="O187" s="717"/>
      <c r="P187" s="717"/>
    </row>
    <row r="188" spans="15:16" x14ac:dyDescent="0.25">
      <c r="O188" s="717"/>
      <c r="P188" s="717"/>
    </row>
    <row r="189" spans="15:16" x14ac:dyDescent="0.25">
      <c r="O189" s="717"/>
      <c r="P189" s="717"/>
    </row>
    <row r="190" spans="15:16" x14ac:dyDescent="0.25">
      <c r="O190" s="717"/>
      <c r="P190" s="717"/>
    </row>
    <row r="191" spans="15:16" x14ac:dyDescent="0.25">
      <c r="O191" s="717"/>
      <c r="P191" s="717"/>
    </row>
    <row r="192" spans="15:16" x14ac:dyDescent="0.25">
      <c r="O192" s="717"/>
      <c r="P192" s="717"/>
    </row>
    <row r="193" spans="15:16" x14ac:dyDescent="0.25">
      <c r="O193" s="717"/>
      <c r="P193" s="717"/>
    </row>
    <row r="194" spans="15:16" x14ac:dyDescent="0.25">
      <c r="O194" s="717"/>
      <c r="P194" s="717"/>
    </row>
    <row r="195" spans="15:16" x14ac:dyDescent="0.25">
      <c r="O195" s="717"/>
      <c r="P195" s="717"/>
    </row>
    <row r="196" spans="15:16" x14ac:dyDescent="0.25">
      <c r="O196" s="717"/>
      <c r="P196" s="717"/>
    </row>
    <row r="197" spans="15:16" x14ac:dyDescent="0.25">
      <c r="O197" s="717"/>
      <c r="P197" s="717"/>
    </row>
    <row r="198" spans="15:16" x14ac:dyDescent="0.25">
      <c r="O198" s="717"/>
      <c r="P198" s="717"/>
    </row>
    <row r="199" spans="15:16" x14ac:dyDescent="0.25">
      <c r="O199" s="717"/>
      <c r="P199" s="717"/>
    </row>
    <row r="200" spans="15:16" x14ac:dyDescent="0.25">
      <c r="O200" s="717"/>
      <c r="P200" s="717"/>
    </row>
    <row r="201" spans="15:16" x14ac:dyDescent="0.25">
      <c r="O201" s="717"/>
      <c r="P201" s="717"/>
    </row>
    <row r="202" spans="15:16" x14ac:dyDescent="0.25">
      <c r="O202" s="717"/>
      <c r="P202" s="717"/>
    </row>
    <row r="203" spans="15:16" x14ac:dyDescent="0.25">
      <c r="O203" s="717"/>
      <c r="P203" s="717"/>
    </row>
    <row r="204" spans="15:16" x14ac:dyDescent="0.25">
      <c r="O204" s="717"/>
      <c r="P204" s="717"/>
    </row>
    <row r="205" spans="15:16" x14ac:dyDescent="0.25">
      <c r="O205" s="717"/>
      <c r="P205" s="717"/>
    </row>
    <row r="206" spans="15:16" x14ac:dyDescent="0.25">
      <c r="O206" s="717"/>
      <c r="P206" s="717"/>
    </row>
    <row r="207" spans="15:16" x14ac:dyDescent="0.25">
      <c r="O207" s="717"/>
      <c r="P207" s="717"/>
    </row>
    <row r="208" spans="15:16" x14ac:dyDescent="0.25">
      <c r="O208" s="717"/>
      <c r="P208" s="717"/>
    </row>
    <row r="209" spans="15:16" x14ac:dyDescent="0.25">
      <c r="O209" s="717"/>
      <c r="P209" s="717"/>
    </row>
    <row r="210" spans="15:16" x14ac:dyDescent="0.25">
      <c r="O210" s="717"/>
      <c r="P210" s="717"/>
    </row>
    <row r="211" spans="15:16" x14ac:dyDescent="0.25">
      <c r="O211" s="717"/>
      <c r="P211" s="717"/>
    </row>
    <row r="212" spans="15:16" x14ac:dyDescent="0.25">
      <c r="O212" s="717"/>
      <c r="P212" s="717"/>
    </row>
    <row r="213" spans="15:16" x14ac:dyDescent="0.25">
      <c r="O213" s="717"/>
      <c r="P213" s="717"/>
    </row>
    <row r="214" spans="15:16" x14ac:dyDescent="0.25">
      <c r="O214" s="717"/>
      <c r="P214" s="717"/>
    </row>
    <row r="215" spans="15:16" x14ac:dyDescent="0.25">
      <c r="O215" s="717"/>
      <c r="P215" s="717"/>
    </row>
    <row r="216" spans="15:16" x14ac:dyDescent="0.25">
      <c r="O216" s="717"/>
      <c r="P216" s="717"/>
    </row>
    <row r="217" spans="15:16" x14ac:dyDescent="0.25">
      <c r="O217" s="717"/>
      <c r="P217" s="717"/>
    </row>
    <row r="218" spans="15:16" x14ac:dyDescent="0.25">
      <c r="O218" s="717"/>
      <c r="P218" s="717"/>
    </row>
    <row r="219" spans="15:16" x14ac:dyDescent="0.25">
      <c r="O219" s="717"/>
      <c r="P219" s="717"/>
    </row>
    <row r="220" spans="15:16" x14ac:dyDescent="0.25">
      <c r="O220" s="717"/>
      <c r="P220" s="717"/>
    </row>
    <row r="221" spans="15:16" x14ac:dyDescent="0.25">
      <c r="O221" s="717"/>
      <c r="P221" s="717"/>
    </row>
    <row r="222" spans="15:16" x14ac:dyDescent="0.25">
      <c r="O222" s="717"/>
      <c r="P222" s="717"/>
    </row>
    <row r="223" spans="15:16" x14ac:dyDescent="0.25">
      <c r="O223" s="717"/>
      <c r="P223" s="717"/>
    </row>
    <row r="224" spans="15:16" x14ac:dyDescent="0.25">
      <c r="O224" s="717"/>
      <c r="P224" s="717"/>
    </row>
    <row r="225" spans="15:16" x14ac:dyDescent="0.25">
      <c r="O225" s="717"/>
      <c r="P225" s="717"/>
    </row>
    <row r="226" spans="15:16" x14ac:dyDescent="0.25">
      <c r="O226" s="717"/>
      <c r="P226" s="717"/>
    </row>
    <row r="227" spans="15:16" x14ac:dyDescent="0.25">
      <c r="O227" s="717"/>
      <c r="P227" s="717"/>
    </row>
    <row r="228" spans="15:16" x14ac:dyDescent="0.25">
      <c r="O228" s="717"/>
      <c r="P228" s="717"/>
    </row>
    <row r="229" spans="15:16" x14ac:dyDescent="0.25">
      <c r="O229" s="717"/>
      <c r="P229" s="717"/>
    </row>
    <row r="230" spans="15:16" x14ac:dyDescent="0.25">
      <c r="O230" s="717"/>
      <c r="P230" s="717"/>
    </row>
    <row r="231" spans="15:16" x14ac:dyDescent="0.25">
      <c r="O231" s="717"/>
      <c r="P231" s="717"/>
    </row>
    <row r="232" spans="15:16" x14ac:dyDescent="0.25">
      <c r="O232" s="717"/>
      <c r="P232" s="717"/>
    </row>
    <row r="233" spans="15:16" x14ac:dyDescent="0.25">
      <c r="O233" s="717"/>
      <c r="P233" s="717"/>
    </row>
    <row r="234" spans="15:16" x14ac:dyDescent="0.25">
      <c r="O234" s="717"/>
      <c r="P234" s="717"/>
    </row>
    <row r="235" spans="15:16" x14ac:dyDescent="0.25">
      <c r="O235" s="717"/>
      <c r="P235" s="717"/>
    </row>
    <row r="236" spans="15:16" x14ac:dyDescent="0.25">
      <c r="O236" s="717"/>
      <c r="P236" s="717"/>
    </row>
    <row r="237" spans="15:16" x14ac:dyDescent="0.25">
      <c r="O237" s="717"/>
      <c r="P237" s="717"/>
    </row>
    <row r="238" spans="15:16" x14ac:dyDescent="0.25">
      <c r="O238" s="717"/>
      <c r="P238" s="717"/>
    </row>
    <row r="239" spans="15:16" x14ac:dyDescent="0.25">
      <c r="O239" s="717"/>
      <c r="P239" s="717"/>
    </row>
    <row r="240" spans="15:16" x14ac:dyDescent="0.25">
      <c r="O240" s="717"/>
      <c r="P240" s="717"/>
    </row>
    <row r="241" spans="15:16" x14ac:dyDescent="0.25">
      <c r="O241" s="717"/>
      <c r="P241" s="717"/>
    </row>
    <row r="242" spans="15:16" x14ac:dyDescent="0.25">
      <c r="O242" s="717"/>
      <c r="P242" s="717"/>
    </row>
    <row r="243" spans="15:16" x14ac:dyDescent="0.25">
      <c r="O243" s="717"/>
      <c r="P243" s="717"/>
    </row>
    <row r="244" spans="15:16" x14ac:dyDescent="0.25">
      <c r="O244" s="717"/>
      <c r="P244" s="717"/>
    </row>
    <row r="245" spans="15:16" x14ac:dyDescent="0.25">
      <c r="O245" s="717"/>
      <c r="P245" s="717"/>
    </row>
    <row r="246" spans="15:16" x14ac:dyDescent="0.25">
      <c r="O246" s="717"/>
      <c r="P246" s="717"/>
    </row>
    <row r="247" spans="15:16" x14ac:dyDescent="0.25">
      <c r="O247" s="717"/>
      <c r="P247" s="717"/>
    </row>
    <row r="248" spans="15:16" x14ac:dyDescent="0.25">
      <c r="O248" s="717"/>
      <c r="P248" s="717"/>
    </row>
    <row r="249" spans="15:16" x14ac:dyDescent="0.25">
      <c r="O249" s="717"/>
      <c r="P249" s="717"/>
    </row>
    <row r="250" spans="15:16" x14ac:dyDescent="0.25">
      <c r="O250" s="717"/>
      <c r="P250" s="717"/>
    </row>
    <row r="251" spans="15:16" x14ac:dyDescent="0.25">
      <c r="O251" s="717"/>
      <c r="P251" s="717"/>
    </row>
    <row r="252" spans="15:16" x14ac:dyDescent="0.25">
      <c r="O252" s="717"/>
      <c r="P252" s="717"/>
    </row>
    <row r="253" spans="15:16" x14ac:dyDescent="0.25">
      <c r="O253" s="717"/>
      <c r="P253" s="717"/>
    </row>
    <row r="254" spans="15:16" x14ac:dyDescent="0.25">
      <c r="O254" s="717"/>
      <c r="P254" s="717"/>
    </row>
    <row r="255" spans="15:16" x14ac:dyDescent="0.25">
      <c r="O255" s="717"/>
      <c r="P255" s="717"/>
    </row>
    <row r="256" spans="15:16" x14ac:dyDescent="0.25">
      <c r="O256" s="717"/>
      <c r="P256" s="717"/>
    </row>
    <row r="257" spans="15:16" x14ac:dyDescent="0.25">
      <c r="O257" s="717"/>
      <c r="P257" s="717"/>
    </row>
    <row r="258" spans="15:16" x14ac:dyDescent="0.25">
      <c r="O258" s="717"/>
      <c r="P258" s="717"/>
    </row>
    <row r="259" spans="15:16" x14ac:dyDescent="0.25">
      <c r="O259" s="717"/>
      <c r="P259" s="717"/>
    </row>
    <row r="260" spans="15:16" x14ac:dyDescent="0.25">
      <c r="O260" s="717"/>
      <c r="P260" s="717"/>
    </row>
    <row r="261" spans="15:16" x14ac:dyDescent="0.25">
      <c r="O261" s="717"/>
      <c r="P261" s="717"/>
    </row>
    <row r="262" spans="15:16" x14ac:dyDescent="0.25">
      <c r="O262" s="717"/>
      <c r="P262" s="717"/>
    </row>
    <row r="263" spans="15:16" x14ac:dyDescent="0.25">
      <c r="O263" s="717"/>
      <c r="P263" s="717"/>
    </row>
    <row r="264" spans="15:16" x14ac:dyDescent="0.25">
      <c r="O264" s="717"/>
      <c r="P264" s="717"/>
    </row>
    <row r="265" spans="15:16" x14ac:dyDescent="0.25">
      <c r="O265" s="717"/>
      <c r="P265" s="717"/>
    </row>
    <row r="266" spans="15:16" x14ac:dyDescent="0.25">
      <c r="O266" s="717"/>
      <c r="P266" s="717"/>
    </row>
    <row r="267" spans="15:16" x14ac:dyDescent="0.25">
      <c r="O267" s="717"/>
      <c r="P267" s="717"/>
    </row>
    <row r="268" spans="15:16" x14ac:dyDescent="0.25">
      <c r="O268" s="717"/>
      <c r="P268" s="717"/>
    </row>
    <row r="269" spans="15:16" x14ac:dyDescent="0.25">
      <c r="O269" s="717"/>
      <c r="P269" s="717"/>
    </row>
    <row r="270" spans="15:16" x14ac:dyDescent="0.25">
      <c r="O270" s="717"/>
      <c r="P270" s="717"/>
    </row>
    <row r="271" spans="15:16" x14ac:dyDescent="0.25">
      <c r="O271" s="717"/>
      <c r="P271" s="717"/>
    </row>
    <row r="272" spans="15:16" x14ac:dyDescent="0.25">
      <c r="O272" s="717"/>
      <c r="P272" s="717"/>
    </row>
    <row r="273" spans="15:16" x14ac:dyDescent="0.25">
      <c r="O273" s="717"/>
      <c r="P273" s="717"/>
    </row>
    <row r="274" spans="15:16" x14ac:dyDescent="0.25">
      <c r="O274" s="717"/>
      <c r="P274" s="717"/>
    </row>
    <row r="275" spans="15:16" x14ac:dyDescent="0.25">
      <c r="O275" s="717"/>
      <c r="P275" s="717"/>
    </row>
    <row r="276" spans="15:16" x14ac:dyDescent="0.25">
      <c r="O276" s="717"/>
      <c r="P276" s="717"/>
    </row>
    <row r="277" spans="15:16" x14ac:dyDescent="0.25">
      <c r="O277" s="717"/>
      <c r="P277" s="717"/>
    </row>
    <row r="278" spans="15:16" x14ac:dyDescent="0.25">
      <c r="O278" s="717"/>
      <c r="P278" s="717"/>
    </row>
    <row r="279" spans="15:16" x14ac:dyDescent="0.25">
      <c r="O279" s="717"/>
      <c r="P279" s="717"/>
    </row>
    <row r="280" spans="15:16" x14ac:dyDescent="0.25">
      <c r="O280" s="717"/>
      <c r="P280" s="717"/>
    </row>
    <row r="281" spans="15:16" x14ac:dyDescent="0.25">
      <c r="O281" s="717"/>
      <c r="P281" s="717"/>
    </row>
    <row r="282" spans="15:16" x14ac:dyDescent="0.25">
      <c r="O282" s="717"/>
      <c r="P282" s="717"/>
    </row>
    <row r="283" spans="15:16" x14ac:dyDescent="0.25">
      <c r="O283" s="717"/>
      <c r="P283" s="717"/>
    </row>
    <row r="284" spans="15:16" x14ac:dyDescent="0.25">
      <c r="O284" s="717"/>
      <c r="P284" s="717"/>
    </row>
    <row r="285" spans="15:16" x14ac:dyDescent="0.25">
      <c r="O285" s="717"/>
      <c r="P285" s="717"/>
    </row>
    <row r="286" spans="15:16" x14ac:dyDescent="0.25">
      <c r="O286" s="717"/>
      <c r="P286" s="717"/>
    </row>
    <row r="287" spans="15:16" x14ac:dyDescent="0.25">
      <c r="O287" s="717"/>
      <c r="P287" s="717"/>
    </row>
    <row r="288" spans="15:16" x14ac:dyDescent="0.25">
      <c r="O288" s="717"/>
      <c r="P288" s="717"/>
    </row>
    <row r="289" spans="15:16" x14ac:dyDescent="0.25">
      <c r="O289" s="717"/>
      <c r="P289" s="717"/>
    </row>
    <row r="290" spans="15:16" x14ac:dyDescent="0.25">
      <c r="O290" s="717"/>
      <c r="P290" s="717"/>
    </row>
    <row r="291" spans="15:16" x14ac:dyDescent="0.25">
      <c r="O291" s="717"/>
      <c r="P291" s="717"/>
    </row>
    <row r="292" spans="15:16" x14ac:dyDescent="0.25">
      <c r="O292" s="717"/>
      <c r="P292" s="717"/>
    </row>
    <row r="293" spans="15:16" x14ac:dyDescent="0.25">
      <c r="O293" s="717"/>
      <c r="P293" s="717"/>
    </row>
    <row r="294" spans="15:16" x14ac:dyDescent="0.25">
      <c r="O294" s="717"/>
      <c r="P294" s="717"/>
    </row>
    <row r="295" spans="15:16" x14ac:dyDescent="0.25">
      <c r="O295" s="717"/>
      <c r="P295" s="717"/>
    </row>
    <row r="296" spans="15:16" x14ac:dyDescent="0.25">
      <c r="O296" s="717"/>
      <c r="P296" s="717"/>
    </row>
    <row r="297" spans="15:16" x14ac:dyDescent="0.25">
      <c r="O297" s="717"/>
      <c r="P297" s="717"/>
    </row>
    <row r="298" spans="15:16" x14ac:dyDescent="0.25">
      <c r="O298" s="717"/>
      <c r="P298" s="717"/>
    </row>
    <row r="299" spans="15:16" x14ac:dyDescent="0.25">
      <c r="O299" s="717"/>
      <c r="P299" s="717"/>
    </row>
    <row r="300" spans="15:16" x14ac:dyDescent="0.25">
      <c r="O300" s="717"/>
      <c r="P300" s="717"/>
    </row>
    <row r="301" spans="15:16" x14ac:dyDescent="0.25">
      <c r="O301" s="717"/>
      <c r="P301" s="717"/>
    </row>
    <row r="302" spans="15:16" x14ac:dyDescent="0.25">
      <c r="O302" s="717"/>
      <c r="P302" s="717"/>
    </row>
    <row r="303" spans="15:16" x14ac:dyDescent="0.25">
      <c r="O303" s="717"/>
      <c r="P303" s="717"/>
    </row>
    <row r="304" spans="15:16" x14ac:dyDescent="0.25">
      <c r="O304" s="717"/>
      <c r="P304" s="717"/>
    </row>
    <row r="305" spans="15:16" x14ac:dyDescent="0.25">
      <c r="O305" s="717"/>
      <c r="P305" s="717"/>
    </row>
    <row r="306" spans="15:16" x14ac:dyDescent="0.25">
      <c r="O306" s="717"/>
      <c r="P306" s="717"/>
    </row>
    <row r="307" spans="15:16" x14ac:dyDescent="0.25">
      <c r="O307" s="717"/>
      <c r="P307" s="717"/>
    </row>
    <row r="308" spans="15:16" x14ac:dyDescent="0.25">
      <c r="O308" s="717"/>
      <c r="P308" s="717"/>
    </row>
    <row r="309" spans="15:16" x14ac:dyDescent="0.25">
      <c r="O309" s="717"/>
      <c r="P309" s="717"/>
    </row>
    <row r="310" spans="15:16" x14ac:dyDescent="0.25">
      <c r="O310" s="717"/>
      <c r="P310" s="717"/>
    </row>
    <row r="311" spans="15:16" x14ac:dyDescent="0.25">
      <c r="O311" s="717"/>
      <c r="P311" s="717"/>
    </row>
    <row r="312" spans="15:16" x14ac:dyDescent="0.25">
      <c r="O312" s="717"/>
      <c r="P312" s="717"/>
    </row>
    <row r="313" spans="15:16" x14ac:dyDescent="0.25">
      <c r="O313" s="717"/>
      <c r="P313" s="717"/>
    </row>
    <row r="314" spans="15:16" x14ac:dyDescent="0.25">
      <c r="O314" s="717"/>
      <c r="P314" s="717"/>
    </row>
    <row r="315" spans="15:16" x14ac:dyDescent="0.25">
      <c r="O315" s="717"/>
      <c r="P315" s="717"/>
    </row>
    <row r="316" spans="15:16" x14ac:dyDescent="0.25">
      <c r="O316" s="717"/>
      <c r="P316" s="717"/>
    </row>
    <row r="317" spans="15:16" x14ac:dyDescent="0.25">
      <c r="O317" s="717"/>
      <c r="P317" s="717"/>
    </row>
    <row r="318" spans="15:16" x14ac:dyDescent="0.25">
      <c r="O318" s="717"/>
      <c r="P318" s="717"/>
    </row>
    <row r="319" spans="15:16" x14ac:dyDescent="0.25">
      <c r="O319" s="717"/>
      <c r="P319" s="717"/>
    </row>
    <row r="320" spans="15:16" x14ac:dyDescent="0.25">
      <c r="O320" s="717"/>
      <c r="P320" s="717"/>
    </row>
    <row r="321" spans="15:16" x14ac:dyDescent="0.25">
      <c r="O321" s="717"/>
      <c r="P321" s="717"/>
    </row>
    <row r="322" spans="15:16" x14ac:dyDescent="0.25">
      <c r="O322" s="717"/>
      <c r="P322" s="717"/>
    </row>
    <row r="323" spans="15:16" x14ac:dyDescent="0.25">
      <c r="O323" s="717"/>
      <c r="P323" s="717"/>
    </row>
    <row r="324" spans="15:16" x14ac:dyDescent="0.25">
      <c r="O324" s="717"/>
      <c r="P324" s="717"/>
    </row>
    <row r="325" spans="15:16" x14ac:dyDescent="0.25">
      <c r="O325" s="717"/>
      <c r="P325" s="717"/>
    </row>
    <row r="326" spans="15:16" x14ac:dyDescent="0.25">
      <c r="O326" s="717"/>
      <c r="P326" s="717"/>
    </row>
    <row r="327" spans="15:16" x14ac:dyDescent="0.25">
      <c r="O327" s="717"/>
      <c r="P327" s="717"/>
    </row>
    <row r="328" spans="15:16" x14ac:dyDescent="0.25">
      <c r="O328" s="717"/>
      <c r="P328" s="717"/>
    </row>
    <row r="329" spans="15:16" x14ac:dyDescent="0.25">
      <c r="O329" s="717"/>
      <c r="P329" s="717"/>
    </row>
    <row r="330" spans="15:16" x14ac:dyDescent="0.25">
      <c r="O330" s="717"/>
      <c r="P330" s="717"/>
    </row>
    <row r="331" spans="15:16" x14ac:dyDescent="0.25">
      <c r="O331" s="717"/>
      <c r="P331" s="717"/>
    </row>
    <row r="332" spans="15:16" x14ac:dyDescent="0.25">
      <c r="O332" s="717"/>
      <c r="P332" s="717"/>
    </row>
    <row r="333" spans="15:16" x14ac:dyDescent="0.25">
      <c r="O333" s="717"/>
      <c r="P333" s="717"/>
    </row>
    <row r="334" spans="15:16" x14ac:dyDescent="0.25">
      <c r="O334" s="717"/>
      <c r="P334" s="717"/>
    </row>
    <row r="335" spans="15:16" x14ac:dyDescent="0.25">
      <c r="O335" s="717"/>
      <c r="P335" s="717"/>
    </row>
    <row r="336" spans="15:16" x14ac:dyDescent="0.25">
      <c r="O336" s="717"/>
      <c r="P336" s="717"/>
    </row>
    <row r="337" spans="15:16" x14ac:dyDescent="0.25">
      <c r="O337" s="717"/>
      <c r="P337" s="717"/>
    </row>
    <row r="338" spans="15:16" x14ac:dyDescent="0.25">
      <c r="O338" s="717"/>
      <c r="P338" s="717"/>
    </row>
    <row r="339" spans="15:16" x14ac:dyDescent="0.25">
      <c r="O339" s="717"/>
      <c r="P339" s="717"/>
    </row>
    <row r="340" spans="15:16" x14ac:dyDescent="0.25">
      <c r="O340" s="717"/>
      <c r="P340" s="717"/>
    </row>
    <row r="341" spans="15:16" x14ac:dyDescent="0.25">
      <c r="O341" s="717"/>
      <c r="P341" s="717"/>
    </row>
    <row r="342" spans="15:16" x14ac:dyDescent="0.25">
      <c r="O342" s="717"/>
      <c r="P342" s="717"/>
    </row>
    <row r="343" spans="15:16" x14ac:dyDescent="0.25">
      <c r="O343" s="717"/>
      <c r="P343" s="717"/>
    </row>
    <row r="344" spans="15:16" x14ac:dyDescent="0.25">
      <c r="O344" s="717"/>
      <c r="P344" s="717"/>
    </row>
    <row r="345" spans="15:16" x14ac:dyDescent="0.25">
      <c r="O345" s="717"/>
      <c r="P345" s="717"/>
    </row>
    <row r="346" spans="15:16" x14ac:dyDescent="0.25">
      <c r="O346" s="717"/>
      <c r="P346" s="717"/>
    </row>
    <row r="347" spans="15:16" x14ac:dyDescent="0.25">
      <c r="O347" s="717"/>
      <c r="P347" s="717"/>
    </row>
    <row r="348" spans="15:16" x14ac:dyDescent="0.25">
      <c r="O348" s="717"/>
      <c r="P348" s="717"/>
    </row>
    <row r="349" spans="15:16" x14ac:dyDescent="0.25">
      <c r="O349" s="717"/>
      <c r="P349" s="717"/>
    </row>
    <row r="350" spans="15:16" x14ac:dyDescent="0.25">
      <c r="O350" s="717"/>
      <c r="P350" s="717"/>
    </row>
    <row r="351" spans="15:16" x14ac:dyDescent="0.25">
      <c r="O351" s="717"/>
      <c r="P351" s="717"/>
    </row>
    <row r="352" spans="15:16" x14ac:dyDescent="0.25">
      <c r="O352" s="717"/>
      <c r="P352" s="717"/>
    </row>
    <row r="353" spans="15:16" x14ac:dyDescent="0.25">
      <c r="O353" s="717"/>
      <c r="P353" s="717"/>
    </row>
    <row r="354" spans="15:16" x14ac:dyDescent="0.25">
      <c r="O354" s="717"/>
      <c r="P354" s="717"/>
    </row>
    <row r="355" spans="15:16" x14ac:dyDescent="0.25">
      <c r="O355" s="717"/>
      <c r="P355" s="717"/>
    </row>
    <row r="356" spans="15:16" x14ac:dyDescent="0.25">
      <c r="O356" s="717"/>
      <c r="P356" s="717"/>
    </row>
    <row r="357" spans="15:16" x14ac:dyDescent="0.25">
      <c r="O357" s="717"/>
      <c r="P357" s="717"/>
    </row>
    <row r="358" spans="15:16" x14ac:dyDescent="0.25">
      <c r="O358" s="717"/>
      <c r="P358" s="717"/>
    </row>
    <row r="359" spans="15:16" x14ac:dyDescent="0.25">
      <c r="O359" s="717"/>
      <c r="P359" s="717"/>
    </row>
    <row r="360" spans="15:16" x14ac:dyDescent="0.25">
      <c r="O360" s="717"/>
      <c r="P360" s="717"/>
    </row>
    <row r="361" spans="15:16" x14ac:dyDescent="0.25">
      <c r="O361" s="717"/>
      <c r="P361" s="717"/>
    </row>
    <row r="362" spans="15:16" x14ac:dyDescent="0.25">
      <c r="O362" s="717"/>
      <c r="P362" s="717"/>
    </row>
    <row r="363" spans="15:16" x14ac:dyDescent="0.25">
      <c r="O363" s="717"/>
      <c r="P363" s="717"/>
    </row>
    <row r="364" spans="15:16" x14ac:dyDescent="0.25">
      <c r="O364" s="717"/>
      <c r="P364" s="717"/>
    </row>
    <row r="365" spans="15:16" x14ac:dyDescent="0.25">
      <c r="O365" s="717"/>
      <c r="P365" s="717"/>
    </row>
    <row r="366" spans="15:16" x14ac:dyDescent="0.25">
      <c r="O366" s="717"/>
      <c r="P366" s="717"/>
    </row>
    <row r="367" spans="15:16" x14ac:dyDescent="0.25">
      <c r="O367" s="717"/>
      <c r="P367" s="717"/>
    </row>
    <row r="368" spans="15:16" x14ac:dyDescent="0.25">
      <c r="O368" s="717"/>
      <c r="P368" s="717"/>
    </row>
    <row r="369" spans="15:16" x14ac:dyDescent="0.25">
      <c r="O369" s="717"/>
      <c r="P369" s="717"/>
    </row>
    <row r="370" spans="15:16" x14ac:dyDescent="0.25">
      <c r="O370" s="717"/>
      <c r="P370" s="717"/>
    </row>
    <row r="371" spans="15:16" x14ac:dyDescent="0.25">
      <c r="O371" s="717"/>
      <c r="P371" s="717"/>
    </row>
    <row r="372" spans="15:16" x14ac:dyDescent="0.25">
      <c r="O372" s="717"/>
      <c r="P372" s="717"/>
    </row>
    <row r="373" spans="15:16" x14ac:dyDescent="0.25">
      <c r="O373" s="717"/>
      <c r="P373" s="717"/>
    </row>
    <row r="374" spans="15:16" x14ac:dyDescent="0.25">
      <c r="O374" s="717"/>
      <c r="P374" s="717"/>
    </row>
    <row r="375" spans="15:16" x14ac:dyDescent="0.25">
      <c r="O375" s="717"/>
      <c r="P375" s="717"/>
    </row>
    <row r="376" spans="15:16" x14ac:dyDescent="0.25">
      <c r="O376" s="717"/>
      <c r="P376" s="717"/>
    </row>
    <row r="377" spans="15:16" x14ac:dyDescent="0.25">
      <c r="O377" s="717"/>
      <c r="P377" s="717"/>
    </row>
    <row r="378" spans="15:16" x14ac:dyDescent="0.25">
      <c r="O378" s="717"/>
      <c r="P378" s="717"/>
    </row>
    <row r="379" spans="15:16" x14ac:dyDescent="0.25">
      <c r="O379" s="717"/>
      <c r="P379" s="717"/>
    </row>
    <row r="380" spans="15:16" x14ac:dyDescent="0.25">
      <c r="O380" s="717"/>
      <c r="P380" s="717"/>
    </row>
    <row r="381" spans="15:16" x14ac:dyDescent="0.25">
      <c r="O381" s="717"/>
      <c r="P381" s="717"/>
    </row>
    <row r="382" spans="15:16" x14ac:dyDescent="0.25">
      <c r="O382" s="717"/>
      <c r="P382" s="717"/>
    </row>
    <row r="383" spans="15:16" x14ac:dyDescent="0.25">
      <c r="O383" s="717"/>
      <c r="P383" s="717"/>
    </row>
    <row r="384" spans="15:16" x14ac:dyDescent="0.25">
      <c r="O384" s="717"/>
      <c r="P384" s="717"/>
    </row>
    <row r="385" spans="15:16" x14ac:dyDescent="0.25">
      <c r="O385" s="717"/>
      <c r="P385" s="717"/>
    </row>
    <row r="386" spans="15:16" x14ac:dyDescent="0.25">
      <c r="O386" s="717"/>
      <c r="P386" s="717"/>
    </row>
    <row r="387" spans="15:16" x14ac:dyDescent="0.25">
      <c r="O387" s="717"/>
      <c r="P387" s="717"/>
    </row>
    <row r="388" spans="15:16" x14ac:dyDescent="0.25">
      <c r="O388" s="717"/>
      <c r="P388" s="717"/>
    </row>
    <row r="389" spans="15:16" x14ac:dyDescent="0.25">
      <c r="O389" s="717"/>
      <c r="P389" s="717"/>
    </row>
    <row r="390" spans="15:16" x14ac:dyDescent="0.25">
      <c r="O390" s="717"/>
      <c r="P390" s="717"/>
    </row>
    <row r="391" spans="15:16" x14ac:dyDescent="0.25">
      <c r="O391" s="717"/>
      <c r="P391" s="717"/>
    </row>
    <row r="392" spans="15:16" x14ac:dyDescent="0.25">
      <c r="O392" s="717"/>
      <c r="P392" s="717"/>
    </row>
    <row r="393" spans="15:16" x14ac:dyDescent="0.25">
      <c r="O393" s="717"/>
      <c r="P393" s="717"/>
    </row>
    <row r="394" spans="15:16" x14ac:dyDescent="0.25">
      <c r="O394" s="717"/>
      <c r="P394" s="717"/>
    </row>
    <row r="395" spans="15:16" x14ac:dyDescent="0.25">
      <c r="O395" s="717"/>
      <c r="P395" s="717"/>
    </row>
    <row r="396" spans="15:16" x14ac:dyDescent="0.25">
      <c r="O396" s="717"/>
      <c r="P396" s="717"/>
    </row>
    <row r="397" spans="15:16" x14ac:dyDescent="0.25">
      <c r="O397" s="717"/>
      <c r="P397" s="717"/>
    </row>
    <row r="398" spans="15:16" x14ac:dyDescent="0.25">
      <c r="O398" s="717"/>
      <c r="P398" s="717"/>
    </row>
    <row r="399" spans="15:16" x14ac:dyDescent="0.25">
      <c r="O399" s="717"/>
      <c r="P399" s="717"/>
    </row>
    <row r="400" spans="15:16" x14ac:dyDescent="0.25">
      <c r="O400" s="717"/>
      <c r="P400" s="717"/>
    </row>
    <row r="401" spans="15:16" x14ac:dyDescent="0.25">
      <c r="O401" s="717"/>
      <c r="P401" s="717"/>
    </row>
    <row r="402" spans="15:16" x14ac:dyDescent="0.25">
      <c r="O402" s="717"/>
      <c r="P402" s="717"/>
    </row>
    <row r="403" spans="15:16" x14ac:dyDescent="0.25">
      <c r="O403" s="717"/>
      <c r="P403" s="717"/>
    </row>
    <row r="404" spans="15:16" x14ac:dyDescent="0.25">
      <c r="O404" s="717"/>
      <c r="P404" s="717"/>
    </row>
    <row r="405" spans="15:16" x14ac:dyDescent="0.25">
      <c r="O405" s="717"/>
      <c r="P405" s="717"/>
    </row>
    <row r="406" spans="15:16" x14ac:dyDescent="0.25">
      <c r="O406" s="717"/>
      <c r="P406" s="717"/>
    </row>
    <row r="407" spans="15:16" x14ac:dyDescent="0.25">
      <c r="O407" s="717"/>
      <c r="P407" s="717"/>
    </row>
    <row r="408" spans="15:16" x14ac:dyDescent="0.25">
      <c r="O408" s="717"/>
      <c r="P408" s="717"/>
    </row>
    <row r="409" spans="15:16" x14ac:dyDescent="0.25">
      <c r="O409" s="717"/>
      <c r="P409" s="717"/>
    </row>
    <row r="410" spans="15:16" x14ac:dyDescent="0.25">
      <c r="O410" s="717"/>
      <c r="P410" s="717"/>
    </row>
    <row r="411" spans="15:16" x14ac:dyDescent="0.25">
      <c r="O411" s="717"/>
      <c r="P411" s="717"/>
    </row>
    <row r="412" spans="15:16" x14ac:dyDescent="0.25">
      <c r="O412" s="717"/>
      <c r="P412" s="717"/>
    </row>
    <row r="413" spans="15:16" x14ac:dyDescent="0.25">
      <c r="O413" s="717"/>
      <c r="P413" s="717"/>
    </row>
    <row r="414" spans="15:16" x14ac:dyDescent="0.25">
      <c r="O414" s="717"/>
      <c r="P414" s="717"/>
    </row>
    <row r="415" spans="15:16" x14ac:dyDescent="0.25">
      <c r="O415" s="717"/>
      <c r="P415" s="717"/>
    </row>
    <row r="416" spans="15:16" x14ac:dyDescent="0.25">
      <c r="O416" s="717"/>
      <c r="P416" s="717"/>
    </row>
    <row r="417" spans="15:16" x14ac:dyDescent="0.25">
      <c r="O417" s="717"/>
      <c r="P417" s="717"/>
    </row>
    <row r="418" spans="15:16" x14ac:dyDescent="0.25">
      <c r="O418" s="717"/>
      <c r="P418" s="717"/>
    </row>
    <row r="419" spans="15:16" x14ac:dyDescent="0.25">
      <c r="O419" s="717"/>
      <c r="P419" s="717"/>
    </row>
    <row r="420" spans="15:16" x14ac:dyDescent="0.25">
      <c r="O420" s="717"/>
      <c r="P420" s="717"/>
    </row>
    <row r="421" spans="15:16" x14ac:dyDescent="0.25">
      <c r="O421" s="717"/>
      <c r="P421" s="717"/>
    </row>
    <row r="422" spans="15:16" x14ac:dyDescent="0.25">
      <c r="O422" s="717"/>
      <c r="P422" s="717"/>
    </row>
    <row r="423" spans="15:16" x14ac:dyDescent="0.25">
      <c r="O423" s="717"/>
      <c r="P423" s="717"/>
    </row>
    <row r="424" spans="15:16" x14ac:dyDescent="0.25">
      <c r="O424" s="717"/>
      <c r="P424" s="717"/>
    </row>
    <row r="425" spans="15:16" x14ac:dyDescent="0.25">
      <c r="O425" s="717"/>
      <c r="P425" s="717"/>
    </row>
    <row r="426" spans="15:16" x14ac:dyDescent="0.25">
      <c r="O426" s="717"/>
      <c r="P426" s="717"/>
    </row>
    <row r="427" spans="15:16" x14ac:dyDescent="0.25">
      <c r="O427" s="717"/>
      <c r="P427" s="717"/>
    </row>
    <row r="428" spans="15:16" x14ac:dyDescent="0.25">
      <c r="O428" s="717"/>
      <c r="P428" s="717"/>
    </row>
    <row r="429" spans="15:16" x14ac:dyDescent="0.25">
      <c r="O429" s="717"/>
      <c r="P429" s="717"/>
    </row>
    <row r="430" spans="15:16" x14ac:dyDescent="0.25">
      <c r="O430" s="717"/>
      <c r="P430" s="717"/>
    </row>
    <row r="431" spans="15:16" x14ac:dyDescent="0.25">
      <c r="O431" s="717"/>
      <c r="P431" s="717"/>
    </row>
    <row r="432" spans="15:16" x14ac:dyDescent="0.25">
      <c r="O432" s="717"/>
      <c r="P432" s="717"/>
    </row>
    <row r="433" spans="15:16" x14ac:dyDescent="0.25">
      <c r="O433" s="717"/>
      <c r="P433" s="717"/>
    </row>
    <row r="434" spans="15:16" x14ac:dyDescent="0.25">
      <c r="O434" s="717"/>
      <c r="P434" s="717"/>
    </row>
    <row r="435" spans="15:16" x14ac:dyDescent="0.25">
      <c r="O435" s="717"/>
      <c r="P435" s="717"/>
    </row>
    <row r="436" spans="15:16" x14ac:dyDescent="0.25">
      <c r="O436" s="717"/>
      <c r="P436" s="717"/>
    </row>
    <row r="437" spans="15:16" x14ac:dyDescent="0.25">
      <c r="O437" s="717"/>
      <c r="P437" s="717"/>
    </row>
    <row r="438" spans="15:16" x14ac:dyDescent="0.25">
      <c r="O438" s="717"/>
      <c r="P438" s="717"/>
    </row>
    <row r="439" spans="15:16" x14ac:dyDescent="0.25">
      <c r="O439" s="717"/>
      <c r="P439" s="717"/>
    </row>
    <row r="440" spans="15:16" x14ac:dyDescent="0.25">
      <c r="O440" s="717"/>
      <c r="P440" s="717"/>
    </row>
    <row r="441" spans="15:16" x14ac:dyDescent="0.25">
      <c r="O441" s="717"/>
      <c r="P441" s="717"/>
    </row>
    <row r="442" spans="15:16" x14ac:dyDescent="0.25">
      <c r="O442" s="717"/>
      <c r="P442" s="717"/>
    </row>
    <row r="443" spans="15:16" x14ac:dyDescent="0.25">
      <c r="O443" s="717"/>
      <c r="P443" s="717"/>
    </row>
    <row r="444" spans="15:16" x14ac:dyDescent="0.25">
      <c r="O444" s="717"/>
      <c r="P444" s="717"/>
    </row>
    <row r="445" spans="15:16" x14ac:dyDescent="0.25">
      <c r="O445" s="717"/>
      <c r="P445" s="717"/>
    </row>
    <row r="446" spans="15:16" x14ac:dyDescent="0.25">
      <c r="O446" s="717"/>
      <c r="P446" s="717"/>
    </row>
    <row r="447" spans="15:16" x14ac:dyDescent="0.25">
      <c r="O447" s="717"/>
      <c r="P447" s="717"/>
    </row>
    <row r="448" spans="15:16" x14ac:dyDescent="0.25">
      <c r="O448" s="717"/>
      <c r="P448" s="717"/>
    </row>
    <row r="449" spans="15:16" x14ac:dyDescent="0.25">
      <c r="O449" s="717"/>
      <c r="P449" s="717"/>
    </row>
    <row r="450" spans="15:16" x14ac:dyDescent="0.25">
      <c r="O450" s="717"/>
      <c r="P450" s="717"/>
    </row>
    <row r="451" spans="15:16" x14ac:dyDescent="0.25">
      <c r="O451" s="717"/>
      <c r="P451" s="717"/>
    </row>
    <row r="452" spans="15:16" x14ac:dyDescent="0.25">
      <c r="O452" s="717"/>
      <c r="P452" s="717"/>
    </row>
    <row r="453" spans="15:16" x14ac:dyDescent="0.25">
      <c r="O453" s="717"/>
      <c r="P453" s="717"/>
    </row>
    <row r="454" spans="15:16" x14ac:dyDescent="0.25">
      <c r="O454" s="717"/>
      <c r="P454" s="717"/>
    </row>
    <row r="455" spans="15:16" x14ac:dyDescent="0.25">
      <c r="O455" s="717"/>
      <c r="P455" s="717"/>
    </row>
    <row r="456" spans="15:16" x14ac:dyDescent="0.25">
      <c r="O456" s="717"/>
      <c r="P456" s="717"/>
    </row>
    <row r="457" spans="15:16" x14ac:dyDescent="0.25">
      <c r="O457" s="717"/>
      <c r="P457" s="717"/>
    </row>
    <row r="458" spans="15:16" x14ac:dyDescent="0.25">
      <c r="O458" s="717"/>
      <c r="P458" s="717"/>
    </row>
    <row r="459" spans="15:16" x14ac:dyDescent="0.25">
      <c r="O459" s="717"/>
      <c r="P459" s="717"/>
    </row>
    <row r="460" spans="15:16" x14ac:dyDescent="0.25">
      <c r="O460" s="717"/>
      <c r="P460" s="717"/>
    </row>
    <row r="461" spans="15:16" x14ac:dyDescent="0.25">
      <c r="O461" s="717"/>
      <c r="P461" s="717"/>
    </row>
    <row r="462" spans="15:16" x14ac:dyDescent="0.25">
      <c r="O462" s="717"/>
      <c r="P462" s="717"/>
    </row>
    <row r="463" spans="15:16" x14ac:dyDescent="0.25">
      <c r="O463" s="717"/>
      <c r="P463" s="717"/>
    </row>
    <row r="464" spans="15:16" x14ac:dyDescent="0.25">
      <c r="O464" s="717"/>
      <c r="P464" s="717"/>
    </row>
    <row r="465" spans="15:16" x14ac:dyDescent="0.25">
      <c r="O465" s="717"/>
      <c r="P465" s="717"/>
    </row>
    <row r="466" spans="15:16" x14ac:dyDescent="0.25">
      <c r="O466" s="717"/>
      <c r="P466" s="717"/>
    </row>
    <row r="467" spans="15:16" x14ac:dyDescent="0.25">
      <c r="O467" s="717"/>
      <c r="P467" s="717"/>
    </row>
    <row r="468" spans="15:16" x14ac:dyDescent="0.25">
      <c r="O468" s="717"/>
      <c r="P468" s="717"/>
    </row>
    <row r="469" spans="15:16" x14ac:dyDescent="0.25">
      <c r="O469" s="717"/>
      <c r="P469" s="717"/>
    </row>
    <row r="470" spans="15:16" x14ac:dyDescent="0.25">
      <c r="O470" s="717"/>
      <c r="P470" s="717"/>
    </row>
    <row r="471" spans="15:16" x14ac:dyDescent="0.25">
      <c r="O471" s="717"/>
      <c r="P471" s="717"/>
    </row>
    <row r="472" spans="15:16" x14ac:dyDescent="0.25">
      <c r="O472" s="717"/>
      <c r="P472" s="717"/>
    </row>
    <row r="473" spans="15:16" x14ac:dyDescent="0.25">
      <c r="O473" s="717"/>
      <c r="P473" s="717"/>
    </row>
    <row r="474" spans="15:16" x14ac:dyDescent="0.25">
      <c r="O474" s="717"/>
      <c r="P474" s="717"/>
    </row>
    <row r="475" spans="15:16" x14ac:dyDescent="0.25">
      <c r="O475" s="717"/>
      <c r="P475" s="717"/>
    </row>
    <row r="476" spans="15:16" x14ac:dyDescent="0.25">
      <c r="O476" s="717"/>
      <c r="P476" s="717"/>
    </row>
    <row r="477" spans="15:16" x14ac:dyDescent="0.25">
      <c r="O477" s="717"/>
      <c r="P477" s="717"/>
    </row>
    <row r="478" spans="15:16" x14ac:dyDescent="0.25">
      <c r="O478" s="717"/>
      <c r="P478" s="717"/>
    </row>
    <row r="479" spans="15:16" x14ac:dyDescent="0.25">
      <c r="O479" s="717"/>
      <c r="P479" s="717"/>
    </row>
    <row r="480" spans="15:16" x14ac:dyDescent="0.25">
      <c r="O480" s="717"/>
      <c r="P480" s="717"/>
    </row>
    <row r="481" spans="15:16" x14ac:dyDescent="0.25">
      <c r="O481" s="717"/>
      <c r="P481" s="717"/>
    </row>
    <row r="482" spans="15:16" x14ac:dyDescent="0.25">
      <c r="O482" s="717"/>
      <c r="P482" s="717"/>
    </row>
    <row r="483" spans="15:16" x14ac:dyDescent="0.25">
      <c r="O483" s="717"/>
      <c r="P483" s="717"/>
    </row>
    <row r="484" spans="15:16" x14ac:dyDescent="0.25">
      <c r="O484" s="717"/>
      <c r="P484" s="717"/>
    </row>
    <row r="485" spans="15:16" x14ac:dyDescent="0.25">
      <c r="O485" s="717"/>
      <c r="P485" s="717"/>
    </row>
    <row r="486" spans="15:16" x14ac:dyDescent="0.25">
      <c r="O486" s="717"/>
      <c r="P486" s="717"/>
    </row>
    <row r="487" spans="15:16" x14ac:dyDescent="0.25">
      <c r="O487" s="717"/>
      <c r="P487" s="717"/>
    </row>
    <row r="488" spans="15:16" x14ac:dyDescent="0.25">
      <c r="O488" s="717"/>
      <c r="P488" s="717"/>
    </row>
    <row r="489" spans="15:16" x14ac:dyDescent="0.25">
      <c r="O489" s="717"/>
      <c r="P489" s="717"/>
    </row>
    <row r="490" spans="15:16" x14ac:dyDescent="0.25">
      <c r="O490" s="717"/>
      <c r="P490" s="717"/>
    </row>
    <row r="491" spans="15:16" x14ac:dyDescent="0.25">
      <c r="O491" s="717"/>
      <c r="P491" s="717"/>
    </row>
    <row r="492" spans="15:16" x14ac:dyDescent="0.25">
      <c r="O492" s="717"/>
      <c r="P492" s="717"/>
    </row>
    <row r="493" spans="15:16" x14ac:dyDescent="0.25">
      <c r="O493" s="717"/>
      <c r="P493" s="717"/>
    </row>
    <row r="494" spans="15:16" x14ac:dyDescent="0.25">
      <c r="O494" s="717"/>
      <c r="P494" s="717"/>
    </row>
    <row r="495" spans="15:16" x14ac:dyDescent="0.25">
      <c r="O495" s="717"/>
      <c r="P495" s="717"/>
    </row>
    <row r="496" spans="15:16" x14ac:dyDescent="0.25">
      <c r="O496" s="717"/>
      <c r="P496" s="717"/>
    </row>
    <row r="497" spans="15:16" x14ac:dyDescent="0.25">
      <c r="O497" s="717"/>
      <c r="P497" s="717"/>
    </row>
    <row r="498" spans="15:16" x14ac:dyDescent="0.25">
      <c r="O498" s="717"/>
      <c r="P498" s="717"/>
    </row>
    <row r="499" spans="15:16" x14ac:dyDescent="0.25">
      <c r="O499" s="717"/>
      <c r="P499" s="717"/>
    </row>
    <row r="500" spans="15:16" x14ac:dyDescent="0.25">
      <c r="O500" s="717"/>
      <c r="P500" s="717"/>
    </row>
    <row r="501" spans="15:16" x14ac:dyDescent="0.25">
      <c r="O501" s="717"/>
      <c r="P501" s="717"/>
    </row>
    <row r="502" spans="15:16" x14ac:dyDescent="0.25">
      <c r="O502" s="717"/>
      <c r="P502" s="717"/>
    </row>
    <row r="503" spans="15:16" x14ac:dyDescent="0.25">
      <c r="O503" s="717"/>
      <c r="P503" s="717"/>
    </row>
    <row r="504" spans="15:16" x14ac:dyDescent="0.25">
      <c r="O504" s="717"/>
      <c r="P504" s="717"/>
    </row>
    <row r="505" spans="15:16" x14ac:dyDescent="0.25">
      <c r="O505" s="717"/>
      <c r="P505" s="717"/>
    </row>
    <row r="506" spans="15:16" x14ac:dyDescent="0.25">
      <c r="O506" s="717"/>
      <c r="P506" s="717"/>
    </row>
    <row r="507" spans="15:16" x14ac:dyDescent="0.25">
      <c r="O507" s="717"/>
      <c r="P507" s="717"/>
    </row>
    <row r="508" spans="15:16" x14ac:dyDescent="0.25">
      <c r="O508" s="717"/>
      <c r="P508" s="717"/>
    </row>
    <row r="509" spans="15:16" x14ac:dyDescent="0.25">
      <c r="O509" s="717"/>
      <c r="P509" s="717"/>
    </row>
    <row r="510" spans="15:16" x14ac:dyDescent="0.25">
      <c r="O510" s="717"/>
      <c r="P510" s="717"/>
    </row>
    <row r="511" spans="15:16" x14ac:dyDescent="0.25">
      <c r="O511" s="717"/>
      <c r="P511" s="717"/>
    </row>
    <row r="512" spans="15:16" x14ac:dyDescent="0.25">
      <c r="O512" s="717"/>
      <c r="P512" s="717"/>
    </row>
    <row r="513" spans="15:16" x14ac:dyDescent="0.25">
      <c r="O513" s="717"/>
      <c r="P513" s="717"/>
    </row>
    <row r="514" spans="15:16" x14ac:dyDescent="0.25">
      <c r="O514" s="717"/>
      <c r="P514" s="717"/>
    </row>
    <row r="515" spans="15:16" x14ac:dyDescent="0.25">
      <c r="O515" s="717"/>
      <c r="P515" s="717"/>
    </row>
    <row r="516" spans="15:16" x14ac:dyDescent="0.25">
      <c r="O516" s="717"/>
      <c r="P516" s="717"/>
    </row>
    <row r="517" spans="15:16" x14ac:dyDescent="0.25">
      <c r="O517" s="717"/>
      <c r="P517" s="717"/>
    </row>
    <row r="518" spans="15:16" x14ac:dyDescent="0.25">
      <c r="O518" s="717"/>
      <c r="P518" s="717"/>
    </row>
    <row r="519" spans="15:16" x14ac:dyDescent="0.25">
      <c r="O519" s="717"/>
      <c r="P519" s="717"/>
    </row>
    <row r="520" spans="15:16" x14ac:dyDescent="0.25">
      <c r="O520" s="717"/>
      <c r="P520" s="717"/>
    </row>
    <row r="521" spans="15:16" x14ac:dyDescent="0.25">
      <c r="O521" s="717"/>
      <c r="P521" s="717"/>
    </row>
    <row r="522" spans="15:16" x14ac:dyDescent="0.25">
      <c r="O522" s="717"/>
      <c r="P522" s="717"/>
    </row>
    <row r="523" spans="15:16" x14ac:dyDescent="0.25">
      <c r="O523" s="717"/>
      <c r="P523" s="717"/>
    </row>
    <row r="524" spans="15:16" x14ac:dyDescent="0.25">
      <c r="O524" s="717"/>
      <c r="P524" s="717"/>
    </row>
    <row r="525" spans="15:16" x14ac:dyDescent="0.25">
      <c r="O525" s="717"/>
      <c r="P525" s="717"/>
    </row>
    <row r="526" spans="15:16" x14ac:dyDescent="0.25">
      <c r="O526" s="717"/>
      <c r="P526" s="717"/>
    </row>
    <row r="527" spans="15:16" x14ac:dyDescent="0.25">
      <c r="O527" s="717"/>
      <c r="P527" s="717"/>
    </row>
    <row r="528" spans="15:16" x14ac:dyDescent="0.25">
      <c r="O528" s="717"/>
      <c r="P528" s="717"/>
    </row>
    <row r="529" spans="15:16" x14ac:dyDescent="0.25">
      <c r="O529" s="717"/>
      <c r="P529" s="717"/>
    </row>
    <row r="530" spans="15:16" x14ac:dyDescent="0.25">
      <c r="O530" s="717"/>
      <c r="P530" s="717"/>
    </row>
    <row r="531" spans="15:16" x14ac:dyDescent="0.25">
      <c r="O531" s="717"/>
      <c r="P531" s="717"/>
    </row>
    <row r="532" spans="15:16" x14ac:dyDescent="0.25">
      <c r="O532" s="717"/>
      <c r="P532" s="717"/>
    </row>
    <row r="533" spans="15:16" x14ac:dyDescent="0.25">
      <c r="O533" s="717"/>
      <c r="P533" s="717"/>
    </row>
    <row r="534" spans="15:16" x14ac:dyDescent="0.25">
      <c r="O534" s="717"/>
      <c r="P534" s="717"/>
    </row>
    <row r="535" spans="15:16" x14ac:dyDescent="0.25">
      <c r="O535" s="717"/>
      <c r="P535" s="717"/>
    </row>
    <row r="536" spans="15:16" x14ac:dyDescent="0.25">
      <c r="O536" s="717"/>
      <c r="P536" s="717"/>
    </row>
    <row r="537" spans="15:16" x14ac:dyDescent="0.25">
      <c r="O537" s="717"/>
      <c r="P537" s="717"/>
    </row>
    <row r="538" spans="15:16" x14ac:dyDescent="0.25">
      <c r="O538" s="717"/>
      <c r="P538" s="717"/>
    </row>
    <row r="539" spans="15:16" x14ac:dyDescent="0.25">
      <c r="O539" s="717"/>
      <c r="P539" s="717"/>
    </row>
    <row r="540" spans="15:16" x14ac:dyDescent="0.25">
      <c r="O540" s="717"/>
      <c r="P540" s="717"/>
    </row>
    <row r="541" spans="15:16" x14ac:dyDescent="0.25">
      <c r="O541" s="717"/>
      <c r="P541" s="717"/>
    </row>
    <row r="542" spans="15:16" x14ac:dyDescent="0.25">
      <c r="O542" s="717"/>
      <c r="P542" s="717"/>
    </row>
    <row r="543" spans="15:16" x14ac:dyDescent="0.25">
      <c r="O543" s="717"/>
      <c r="P543" s="717"/>
    </row>
    <row r="544" spans="15:16" x14ac:dyDescent="0.25">
      <c r="O544" s="717"/>
      <c r="P544" s="717"/>
    </row>
    <row r="545" spans="15:16" x14ac:dyDescent="0.25">
      <c r="O545" s="717"/>
      <c r="P545" s="717"/>
    </row>
    <row r="546" spans="15:16" x14ac:dyDescent="0.25">
      <c r="O546" s="717"/>
      <c r="P546" s="717"/>
    </row>
    <row r="547" spans="15:16" x14ac:dyDescent="0.25">
      <c r="O547" s="717"/>
      <c r="P547" s="717"/>
    </row>
    <row r="548" spans="15:16" x14ac:dyDescent="0.25">
      <c r="O548" s="717"/>
      <c r="P548" s="717"/>
    </row>
    <row r="549" spans="15:16" x14ac:dyDescent="0.25">
      <c r="O549" s="717"/>
      <c r="P549" s="717"/>
    </row>
    <row r="550" spans="15:16" x14ac:dyDescent="0.25">
      <c r="O550" s="717"/>
      <c r="P550" s="717"/>
    </row>
    <row r="551" spans="15:16" x14ac:dyDescent="0.25">
      <c r="O551" s="717"/>
      <c r="P551" s="717"/>
    </row>
    <row r="552" spans="15:16" x14ac:dyDescent="0.25">
      <c r="O552" s="717"/>
      <c r="P552" s="717"/>
    </row>
    <row r="553" spans="15:16" x14ac:dyDescent="0.25">
      <c r="O553" s="717"/>
      <c r="P553" s="717"/>
    </row>
    <row r="554" spans="15:16" x14ac:dyDescent="0.25">
      <c r="O554" s="717"/>
      <c r="P554" s="717"/>
    </row>
    <row r="555" spans="15:16" x14ac:dyDescent="0.25">
      <c r="O555" s="717"/>
      <c r="P555" s="717"/>
    </row>
    <row r="556" spans="15:16" x14ac:dyDescent="0.25">
      <c r="O556" s="717"/>
      <c r="P556" s="717"/>
    </row>
    <row r="557" spans="15:16" x14ac:dyDescent="0.25">
      <c r="O557" s="717"/>
      <c r="P557" s="717"/>
    </row>
    <row r="558" spans="15:16" x14ac:dyDescent="0.25">
      <c r="O558" s="717"/>
      <c r="P558" s="717"/>
    </row>
    <row r="559" spans="15:16" x14ac:dyDescent="0.25">
      <c r="O559" s="717"/>
      <c r="P559" s="717"/>
    </row>
    <row r="560" spans="15:16" x14ac:dyDescent="0.25">
      <c r="O560" s="717"/>
      <c r="P560" s="717"/>
    </row>
    <row r="561" spans="15:16" x14ac:dyDescent="0.25">
      <c r="O561" s="717"/>
      <c r="P561" s="717"/>
    </row>
    <row r="562" spans="15:16" x14ac:dyDescent="0.25">
      <c r="O562" s="717"/>
      <c r="P562" s="717"/>
    </row>
    <row r="563" spans="15:16" x14ac:dyDescent="0.25">
      <c r="O563" s="717"/>
      <c r="P563" s="717"/>
    </row>
    <row r="564" spans="15:16" x14ac:dyDescent="0.25">
      <c r="O564" s="717"/>
      <c r="P564" s="717"/>
    </row>
    <row r="565" spans="15:16" x14ac:dyDescent="0.25">
      <c r="O565" s="717"/>
      <c r="P565" s="717"/>
    </row>
    <row r="566" spans="15:16" x14ac:dyDescent="0.25">
      <c r="O566" s="717"/>
      <c r="P566" s="717"/>
    </row>
    <row r="567" spans="15:16" x14ac:dyDescent="0.25">
      <c r="O567" s="717"/>
      <c r="P567" s="717"/>
    </row>
    <row r="568" spans="15:16" x14ac:dyDescent="0.25">
      <c r="O568" s="717"/>
      <c r="P568" s="717"/>
    </row>
    <row r="569" spans="15:16" x14ac:dyDescent="0.25">
      <c r="O569" s="717"/>
      <c r="P569" s="717"/>
    </row>
    <row r="570" spans="15:16" x14ac:dyDescent="0.25">
      <c r="O570" s="717"/>
      <c r="P570" s="717"/>
    </row>
    <row r="571" spans="15:16" x14ac:dyDescent="0.25">
      <c r="O571" s="717"/>
      <c r="P571" s="717"/>
    </row>
    <row r="572" spans="15:16" x14ac:dyDescent="0.25">
      <c r="O572" s="717"/>
      <c r="P572" s="717"/>
    </row>
    <row r="573" spans="15:16" x14ac:dyDescent="0.25">
      <c r="O573" s="717"/>
      <c r="P573" s="717"/>
    </row>
    <row r="574" spans="15:16" x14ac:dyDescent="0.25">
      <c r="O574" s="717"/>
      <c r="P574" s="717"/>
    </row>
    <row r="575" spans="15:16" x14ac:dyDescent="0.25">
      <c r="O575" s="717"/>
      <c r="P575" s="717"/>
    </row>
    <row r="576" spans="15:16" x14ac:dyDescent="0.25">
      <c r="O576" s="717"/>
      <c r="P576" s="717"/>
    </row>
    <row r="577" spans="15:16" x14ac:dyDescent="0.25">
      <c r="O577" s="717"/>
      <c r="P577" s="717"/>
    </row>
    <row r="578" spans="15:16" x14ac:dyDescent="0.25">
      <c r="O578" s="717"/>
      <c r="P578" s="717"/>
    </row>
    <row r="579" spans="15:16" x14ac:dyDescent="0.25">
      <c r="O579" s="717"/>
      <c r="P579" s="717"/>
    </row>
    <row r="580" spans="15:16" x14ac:dyDescent="0.25">
      <c r="O580" s="717"/>
      <c r="P580" s="717"/>
    </row>
    <row r="581" spans="15:16" x14ac:dyDescent="0.25">
      <c r="O581" s="717"/>
      <c r="P581" s="717"/>
    </row>
    <row r="582" spans="15:16" x14ac:dyDescent="0.25">
      <c r="O582" s="717"/>
      <c r="P582" s="717"/>
    </row>
    <row r="583" spans="15:16" x14ac:dyDescent="0.25">
      <c r="O583" s="717"/>
      <c r="P583" s="717"/>
    </row>
    <row r="584" spans="15:16" x14ac:dyDescent="0.25">
      <c r="O584" s="717"/>
      <c r="P584" s="717"/>
    </row>
    <row r="585" spans="15:16" x14ac:dyDescent="0.25">
      <c r="O585" s="717"/>
      <c r="P585" s="717"/>
    </row>
    <row r="586" spans="15:16" x14ac:dyDescent="0.25">
      <c r="O586" s="717"/>
      <c r="P586" s="717"/>
    </row>
    <row r="587" spans="15:16" x14ac:dyDescent="0.25">
      <c r="O587" s="717"/>
      <c r="P587" s="717"/>
    </row>
    <row r="588" spans="15:16" x14ac:dyDescent="0.25">
      <c r="O588" s="717"/>
      <c r="P588" s="717"/>
    </row>
    <row r="589" spans="15:16" x14ac:dyDescent="0.25">
      <c r="O589" s="717"/>
      <c r="P589" s="717"/>
    </row>
    <row r="590" spans="15:16" x14ac:dyDescent="0.25">
      <c r="O590" s="717"/>
      <c r="P590" s="717"/>
    </row>
    <row r="591" spans="15:16" x14ac:dyDescent="0.25">
      <c r="O591" s="717"/>
      <c r="P591" s="717"/>
    </row>
    <row r="592" spans="15:16" x14ac:dyDescent="0.25">
      <c r="O592" s="717"/>
      <c r="P592" s="717"/>
    </row>
    <row r="593" spans="15:16" x14ac:dyDescent="0.25">
      <c r="O593" s="717"/>
      <c r="P593" s="717"/>
    </row>
    <row r="594" spans="15:16" x14ac:dyDescent="0.25">
      <c r="O594" s="717"/>
      <c r="P594" s="717"/>
    </row>
    <row r="595" spans="15:16" x14ac:dyDescent="0.25">
      <c r="O595" s="717"/>
      <c r="P595" s="717"/>
    </row>
    <row r="596" spans="15:16" x14ac:dyDescent="0.25">
      <c r="O596" s="717"/>
      <c r="P596" s="717"/>
    </row>
    <row r="597" spans="15:16" x14ac:dyDescent="0.25">
      <c r="O597" s="717"/>
      <c r="P597" s="717"/>
    </row>
    <row r="598" spans="15:16" x14ac:dyDescent="0.25">
      <c r="O598" s="717"/>
      <c r="P598" s="717"/>
    </row>
    <row r="599" spans="15:16" x14ac:dyDescent="0.25">
      <c r="O599" s="717"/>
      <c r="P599" s="717"/>
    </row>
    <row r="600" spans="15:16" x14ac:dyDescent="0.25">
      <c r="O600" s="717"/>
      <c r="P600" s="717"/>
    </row>
  </sheetData>
  <mergeCells count="12">
    <mergeCell ref="I32:J32"/>
    <mergeCell ref="I33:J33"/>
    <mergeCell ref="B1:Z1"/>
    <mergeCell ref="O9:Q9"/>
    <mergeCell ref="F12:K12"/>
    <mergeCell ref="O12:R12"/>
    <mergeCell ref="B22:E22"/>
    <mergeCell ref="F22:J22"/>
    <mergeCell ref="M22:N22"/>
    <mergeCell ref="O22:R22"/>
    <mergeCell ref="S22:X22"/>
    <mergeCell ref="Y22:Z2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8" orientation="landscape" horizontalDpi="4294967292" vertic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3"/>
  <sheetViews>
    <sheetView view="pageBreakPreview" topLeftCell="A16" zoomScale="85" zoomScaleNormal="100" zoomScaleSheetLayoutView="85" workbookViewId="0">
      <selection activeCell="O24" sqref="O24"/>
    </sheetView>
  </sheetViews>
  <sheetFormatPr defaultColWidth="9.1796875" defaultRowHeight="12.5" x14ac:dyDescent="0.25"/>
  <cols>
    <col min="1" max="1" width="12.08984375" style="111" customWidth="1"/>
    <col min="2" max="2" width="9.453125" style="111" bestFit="1" customWidth="1"/>
    <col min="3" max="3" width="7.453125" style="111" customWidth="1"/>
    <col min="4" max="4" width="7.7265625" style="111" customWidth="1"/>
    <col min="5" max="5" width="8" style="111" customWidth="1"/>
    <col min="6" max="6" width="7.26953125" style="111" customWidth="1"/>
    <col min="7" max="7" width="11.1796875" style="111" customWidth="1"/>
    <col min="8" max="8" width="14.453125" style="111" customWidth="1"/>
    <col min="9" max="9" width="16.1796875" style="111" customWidth="1"/>
    <col min="10" max="10" width="17.453125" style="111" customWidth="1"/>
    <col min="11" max="11" width="8.453125" style="111" customWidth="1"/>
    <col min="12" max="12" width="7.81640625" style="111" customWidth="1"/>
    <col min="13" max="13" width="8.36328125" style="111" bestFit="1" customWidth="1"/>
    <col min="14" max="14" width="7.81640625" style="111" customWidth="1"/>
    <col min="15" max="15" width="11.81640625" style="111" bestFit="1" customWidth="1"/>
    <col min="16" max="16" width="10.7265625" style="111" customWidth="1"/>
    <col min="17" max="17" width="8.90625" style="111" customWidth="1"/>
    <col min="18" max="18" width="17.6328125" style="111" bestFit="1" customWidth="1"/>
    <col min="19" max="256" width="11.453125" style="111" customWidth="1"/>
    <col min="257" max="16384" width="9.1796875" style="111"/>
  </cols>
  <sheetData>
    <row r="1" spans="1:18" x14ac:dyDescent="0.25">
      <c r="A1" s="931" t="s">
        <v>255</v>
      </c>
      <c r="B1" s="931"/>
      <c r="C1" s="931"/>
      <c r="D1" s="931"/>
      <c r="E1" s="931"/>
      <c r="F1" s="931"/>
      <c r="G1" s="931"/>
      <c r="H1" s="931"/>
      <c r="I1" s="931"/>
      <c r="J1" s="931"/>
      <c r="K1" s="931"/>
      <c r="L1" s="931"/>
      <c r="M1" s="931"/>
      <c r="N1" s="931"/>
      <c r="O1" s="931"/>
      <c r="P1" s="931"/>
      <c r="Q1" s="931"/>
    </row>
    <row r="3" spans="1:18" ht="13" x14ac:dyDescent="0.3">
      <c r="A3" s="339" t="s">
        <v>0</v>
      </c>
      <c r="B3" s="339"/>
      <c r="C3" s="340"/>
      <c r="D3" s="340"/>
      <c r="E3" s="341" t="str">
        <f>'FORM A'!C3</f>
        <v>PROVISION OF PUBLIC PASSENGER TRANSPORT MKUZE AND SURROUNDING</v>
      </c>
      <c r="F3" s="114"/>
      <c r="G3" s="114"/>
      <c r="H3" s="340"/>
      <c r="I3" s="340"/>
      <c r="J3" s="340"/>
      <c r="K3" s="342"/>
      <c r="L3" s="342"/>
      <c r="N3" s="343"/>
    </row>
    <row r="4" spans="1:18" ht="13" x14ac:dyDescent="0.3">
      <c r="A4" s="114"/>
      <c r="B4" s="114"/>
      <c r="C4" s="339"/>
      <c r="D4" s="339"/>
      <c r="E4" s="339"/>
      <c r="F4" s="339"/>
      <c r="G4" s="339"/>
      <c r="H4" s="339"/>
      <c r="I4" s="114"/>
      <c r="J4" s="339"/>
      <c r="K4" s="344"/>
      <c r="L4" s="344"/>
      <c r="M4" s="344"/>
      <c r="N4" s="344"/>
    </row>
    <row r="5" spans="1:18" ht="13" x14ac:dyDescent="0.3">
      <c r="A5" s="339" t="str">
        <f>'FORM A'!A6</f>
        <v>CONTRACT : ZNT 1129</v>
      </c>
      <c r="C5" s="344"/>
      <c r="D5" s="344"/>
      <c r="E5" s="344"/>
      <c r="F5" s="121"/>
      <c r="G5" s="121"/>
      <c r="H5" s="344"/>
      <c r="I5" s="339" t="s">
        <v>2</v>
      </c>
      <c r="J5" s="344" t="str">
        <f>'FORM A'!F6</f>
        <v>Ripple Effect 40 (Pty) Ltd</v>
      </c>
      <c r="K5" s="121"/>
      <c r="L5" s="344"/>
      <c r="M5" s="344"/>
      <c r="N5" s="344"/>
    </row>
    <row r="6" spans="1:18" ht="13" x14ac:dyDescent="0.3">
      <c r="B6" s="342"/>
      <c r="C6" s="342"/>
      <c r="D6" s="342"/>
      <c r="E6" s="342"/>
      <c r="F6" s="342"/>
      <c r="G6" s="342"/>
      <c r="H6" s="342"/>
      <c r="I6" s="114"/>
      <c r="J6" s="342"/>
      <c r="K6" s="342"/>
      <c r="L6" s="342"/>
      <c r="M6" s="342"/>
      <c r="N6" s="342"/>
    </row>
    <row r="7" spans="1:18" ht="13" x14ac:dyDescent="0.3">
      <c r="A7" s="340" t="s">
        <v>32</v>
      </c>
      <c r="C7" s="342"/>
      <c r="D7" s="342"/>
      <c r="E7" s="345">
        <f>'FORM A'!C8</f>
        <v>320</v>
      </c>
      <c r="F7" s="121"/>
      <c r="G7" s="121"/>
      <c r="H7" s="342"/>
      <c r="I7" s="114" t="s">
        <v>105</v>
      </c>
      <c r="J7" s="929">
        <f>'FORM A'!F8</f>
        <v>45778</v>
      </c>
      <c r="K7" s="930"/>
      <c r="L7" s="930"/>
      <c r="M7" s="930"/>
      <c r="N7" s="342"/>
    </row>
    <row r="8" spans="1:18" x14ac:dyDescent="0.25">
      <c r="B8" s="342"/>
      <c r="C8" s="342"/>
      <c r="D8" s="342"/>
      <c r="E8" s="342"/>
      <c r="F8" s="121"/>
      <c r="G8" s="121"/>
      <c r="H8" s="342"/>
      <c r="I8" s="340"/>
      <c r="J8" s="342"/>
      <c r="K8" s="346"/>
      <c r="L8" s="346"/>
      <c r="M8" s="346"/>
      <c r="N8" s="342"/>
    </row>
    <row r="9" spans="1:18" x14ac:dyDescent="0.25">
      <c r="A9" s="347" t="s">
        <v>254</v>
      </c>
      <c r="C9" s="342"/>
      <c r="D9" s="342"/>
      <c r="E9" s="342"/>
      <c r="F9" s="121"/>
      <c r="G9" s="121"/>
      <c r="H9" s="342"/>
      <c r="I9" s="342"/>
      <c r="J9" s="342"/>
      <c r="K9" s="348"/>
      <c r="L9" s="348"/>
      <c r="M9" s="342"/>
      <c r="N9" s="342"/>
    </row>
    <row r="10" spans="1:18" x14ac:dyDescent="0.25">
      <c r="B10" s="342"/>
      <c r="C10" s="342"/>
      <c r="D10" s="342"/>
      <c r="E10" s="342"/>
      <c r="F10" s="342"/>
      <c r="G10" s="342"/>
      <c r="H10" s="342"/>
      <c r="I10" s="342"/>
      <c r="J10" s="342"/>
      <c r="K10" s="342"/>
      <c r="L10" s="342"/>
      <c r="M10" s="342"/>
      <c r="N10" s="342"/>
    </row>
    <row r="11" spans="1:18" ht="12.75" customHeight="1" x14ac:dyDescent="0.3">
      <c r="A11" s="349" t="s">
        <v>42</v>
      </c>
      <c r="B11" s="349" t="s">
        <v>45</v>
      </c>
      <c r="C11" s="349" t="s">
        <v>144</v>
      </c>
      <c r="D11" s="349" t="s">
        <v>63</v>
      </c>
      <c r="E11" s="350" t="s">
        <v>145</v>
      </c>
      <c r="F11" s="350"/>
      <c r="G11" s="350"/>
      <c r="H11" s="349" t="s">
        <v>64</v>
      </c>
      <c r="I11" s="350" t="s">
        <v>43</v>
      </c>
      <c r="J11" s="350"/>
      <c r="K11" s="349" t="s">
        <v>65</v>
      </c>
      <c r="L11" s="349" t="s">
        <v>45</v>
      </c>
      <c r="M11" s="351" t="s">
        <v>146</v>
      </c>
      <c r="N11" s="352" t="s">
        <v>65</v>
      </c>
      <c r="O11" s="353" t="s">
        <v>65</v>
      </c>
      <c r="P11" s="349" t="s">
        <v>165</v>
      </c>
      <c r="Q11" s="349" t="s">
        <v>147</v>
      </c>
    </row>
    <row r="12" spans="1:18" ht="13" x14ac:dyDescent="0.3">
      <c r="A12" s="354"/>
      <c r="B12" s="354" t="s">
        <v>148</v>
      </c>
      <c r="C12" s="354" t="s">
        <v>148</v>
      </c>
      <c r="D12" s="354" t="s">
        <v>148</v>
      </c>
      <c r="E12" s="355" t="s">
        <v>149</v>
      </c>
      <c r="F12" s="355" t="s">
        <v>158</v>
      </c>
      <c r="G12" s="118" t="s">
        <v>150</v>
      </c>
      <c r="H12" s="354"/>
      <c r="I12" s="355" t="s">
        <v>52</v>
      </c>
      <c r="J12" s="118" t="s">
        <v>53</v>
      </c>
      <c r="K12" s="354" t="s">
        <v>151</v>
      </c>
      <c r="L12" s="354" t="s">
        <v>49</v>
      </c>
      <c r="M12" s="356" t="s">
        <v>152</v>
      </c>
      <c r="N12" s="357" t="s">
        <v>153</v>
      </c>
      <c r="O12" s="358" t="s">
        <v>152</v>
      </c>
      <c r="P12" s="354"/>
      <c r="Q12" s="354" t="s">
        <v>51</v>
      </c>
    </row>
    <row r="13" spans="1:18" ht="13" x14ac:dyDescent="0.3">
      <c r="A13" s="354">
        <v>1</v>
      </c>
      <c r="B13" s="354">
        <v>2</v>
      </c>
      <c r="C13" s="354">
        <v>3</v>
      </c>
      <c r="D13" s="354">
        <v>4</v>
      </c>
      <c r="E13" s="355">
        <v>5</v>
      </c>
      <c r="F13" s="354">
        <v>6</v>
      </c>
      <c r="G13" s="355">
        <v>7</v>
      </c>
      <c r="H13" s="118">
        <v>8</v>
      </c>
      <c r="I13" s="354">
        <v>9</v>
      </c>
      <c r="J13" s="354">
        <v>10</v>
      </c>
      <c r="K13" s="564">
        <v>11</v>
      </c>
      <c r="L13" s="564">
        <v>12</v>
      </c>
      <c r="M13" s="565">
        <v>13</v>
      </c>
      <c r="N13" s="354">
        <v>14</v>
      </c>
      <c r="O13" s="354">
        <v>15</v>
      </c>
      <c r="P13" s="354">
        <v>16</v>
      </c>
      <c r="Q13" s="354">
        <v>17</v>
      </c>
    </row>
    <row r="14" spans="1:18" ht="15" customHeight="1" x14ac:dyDescent="0.25">
      <c r="A14" s="861">
        <v>45779</v>
      </c>
      <c r="B14" s="845" t="s">
        <v>430</v>
      </c>
      <c r="C14" s="845">
        <v>25</v>
      </c>
      <c r="D14" s="845">
        <v>1021</v>
      </c>
      <c r="E14" s="857" t="s">
        <v>431</v>
      </c>
      <c r="F14" s="857" t="s">
        <v>431</v>
      </c>
      <c r="G14" s="857" t="s">
        <v>432</v>
      </c>
      <c r="H14" s="845" t="s">
        <v>356</v>
      </c>
      <c r="I14" s="845" t="s">
        <v>433</v>
      </c>
      <c r="J14" s="845" t="s">
        <v>434</v>
      </c>
      <c r="K14" s="845">
        <v>2</v>
      </c>
      <c r="L14" s="863">
        <f>VLOOKUP(B14,'FORM F1 SUB - STD BUS'!$B$17:L56,11,FALSE)</f>
        <v>70.3</v>
      </c>
      <c r="M14" s="847">
        <v>8.2100000000000009</v>
      </c>
      <c r="N14" s="835">
        <v>0.25</v>
      </c>
      <c r="O14" s="832">
        <f>ROUND(L14*M14*N14,2)</f>
        <v>144.29</v>
      </c>
      <c r="P14" s="574"/>
      <c r="Q14" s="858" t="s">
        <v>452</v>
      </c>
      <c r="R14" s="566"/>
    </row>
    <row r="15" spans="1:18" ht="15" customHeight="1" x14ac:dyDescent="0.25">
      <c r="A15" s="861">
        <v>45779</v>
      </c>
      <c r="B15" s="845" t="s">
        <v>435</v>
      </c>
      <c r="C15" s="845">
        <v>26</v>
      </c>
      <c r="D15" s="845">
        <v>1007</v>
      </c>
      <c r="E15" s="857" t="s">
        <v>436</v>
      </c>
      <c r="F15" s="857" t="s">
        <v>436</v>
      </c>
      <c r="G15" s="845" t="s">
        <v>437</v>
      </c>
      <c r="H15" s="845" t="s">
        <v>356</v>
      </c>
      <c r="I15" s="845" t="s">
        <v>433</v>
      </c>
      <c r="J15" s="845" t="s">
        <v>438</v>
      </c>
      <c r="K15" s="845">
        <v>2</v>
      </c>
      <c r="L15" s="863">
        <f>VLOOKUP(B15,'FORM F1 SUB - STD BUS'!$B$17:L57,11,FALSE)</f>
        <v>78</v>
      </c>
      <c r="M15" s="847">
        <v>8.2100000000000009</v>
      </c>
      <c r="N15" s="835">
        <v>0.25</v>
      </c>
      <c r="O15" s="832">
        <f t="shared" ref="O15:O21" si="0">ROUND(L15*M15*N15,2)</f>
        <v>160.1</v>
      </c>
      <c r="P15" s="574"/>
      <c r="Q15" s="858" t="s">
        <v>452</v>
      </c>
      <c r="R15" s="566"/>
    </row>
    <row r="16" spans="1:18" ht="15" customHeight="1" x14ac:dyDescent="0.25">
      <c r="A16" s="856">
        <v>45782</v>
      </c>
      <c r="B16" s="845">
        <v>8</v>
      </c>
      <c r="C16" s="845">
        <v>24</v>
      </c>
      <c r="D16" s="845">
        <v>1026</v>
      </c>
      <c r="E16" s="857" t="s">
        <v>439</v>
      </c>
      <c r="F16" s="857" t="s">
        <v>439</v>
      </c>
      <c r="G16" s="845" t="s">
        <v>440</v>
      </c>
      <c r="H16" s="845" t="s">
        <v>356</v>
      </c>
      <c r="I16" s="845" t="s">
        <v>433</v>
      </c>
      <c r="J16" s="845" t="s">
        <v>441</v>
      </c>
      <c r="K16" s="845">
        <v>2</v>
      </c>
      <c r="L16" s="863">
        <f>VLOOKUP(B16,'FORM F1 SUB - STD BUS'!$B$17:L58,11,FALSE)</f>
        <v>78.8</v>
      </c>
      <c r="M16" s="847">
        <v>8.2100000000000009</v>
      </c>
      <c r="N16" s="835">
        <v>0.25</v>
      </c>
      <c r="O16" s="832">
        <f t="shared" si="0"/>
        <v>161.74</v>
      </c>
      <c r="P16" s="574"/>
      <c r="Q16" s="858" t="s">
        <v>452</v>
      </c>
      <c r="R16" s="566"/>
    </row>
    <row r="17" spans="1:18" ht="15" customHeight="1" x14ac:dyDescent="0.25">
      <c r="A17" s="856">
        <v>45786</v>
      </c>
      <c r="B17" s="845" t="s">
        <v>448</v>
      </c>
      <c r="C17" s="845">
        <v>2</v>
      </c>
      <c r="D17" s="845">
        <v>1019</v>
      </c>
      <c r="E17" s="857" t="s">
        <v>436</v>
      </c>
      <c r="F17" s="857" t="s">
        <v>436</v>
      </c>
      <c r="G17" s="857" t="s">
        <v>437</v>
      </c>
      <c r="H17" s="845" t="s">
        <v>356</v>
      </c>
      <c r="I17" s="845" t="s">
        <v>433</v>
      </c>
      <c r="J17" s="845" t="s">
        <v>449</v>
      </c>
      <c r="K17" s="845">
        <v>2</v>
      </c>
      <c r="L17" s="863">
        <f>VLOOKUP(B17,'FORM F1 SUB - STD BUS'!$B$17:L62,11,FALSE)</f>
        <v>81.8</v>
      </c>
      <c r="M17" s="847">
        <v>8.2100000000000009</v>
      </c>
      <c r="N17" s="835">
        <v>0.25</v>
      </c>
      <c r="O17" s="832">
        <f t="shared" si="0"/>
        <v>167.89</v>
      </c>
      <c r="P17" s="574"/>
      <c r="Q17" s="858" t="s">
        <v>453</v>
      </c>
      <c r="R17" s="566"/>
    </row>
    <row r="18" spans="1:18" ht="15" customHeight="1" x14ac:dyDescent="0.25">
      <c r="A18" s="856">
        <v>45790</v>
      </c>
      <c r="B18" s="845">
        <v>8</v>
      </c>
      <c r="C18" s="845">
        <v>24</v>
      </c>
      <c r="D18" s="845">
        <v>1025</v>
      </c>
      <c r="E18" s="859" t="s">
        <v>439</v>
      </c>
      <c r="F18" s="859" t="s">
        <v>439</v>
      </c>
      <c r="G18" s="862" t="s">
        <v>447</v>
      </c>
      <c r="H18" s="845" t="s">
        <v>356</v>
      </c>
      <c r="I18" s="845" t="s">
        <v>433</v>
      </c>
      <c r="J18" s="845" t="s">
        <v>441</v>
      </c>
      <c r="K18" s="845">
        <v>2</v>
      </c>
      <c r="L18" s="863">
        <f>VLOOKUP(B18,'FORM F1 SUB - STD BUS'!$B$17:L63,11,FALSE)</f>
        <v>78.8</v>
      </c>
      <c r="M18" s="847">
        <v>8.2100000000000009</v>
      </c>
      <c r="N18" s="835">
        <v>0.25</v>
      </c>
      <c r="O18" s="832">
        <f t="shared" si="0"/>
        <v>161.74</v>
      </c>
      <c r="P18" s="574"/>
      <c r="Q18" s="858" t="s">
        <v>453</v>
      </c>
      <c r="R18" s="566"/>
    </row>
    <row r="19" spans="1:18" ht="15" customHeight="1" x14ac:dyDescent="0.25">
      <c r="A19" s="856">
        <v>45798</v>
      </c>
      <c r="B19" s="845" t="s">
        <v>435</v>
      </c>
      <c r="C19" s="845">
        <v>26</v>
      </c>
      <c r="D19" s="845">
        <v>1028</v>
      </c>
      <c r="E19" s="859" t="s">
        <v>436</v>
      </c>
      <c r="F19" s="859" t="s">
        <v>436</v>
      </c>
      <c r="G19" s="862" t="s">
        <v>446</v>
      </c>
      <c r="H19" s="845" t="s">
        <v>356</v>
      </c>
      <c r="I19" s="845" t="s">
        <v>433</v>
      </c>
      <c r="J19" s="845" t="s">
        <v>438</v>
      </c>
      <c r="K19" s="845">
        <v>2</v>
      </c>
      <c r="L19" s="863">
        <f>VLOOKUP(B19,'FORM F1 SUB - STD BUS'!$B$17:L60,11,FALSE)</f>
        <v>78</v>
      </c>
      <c r="M19" s="847">
        <v>8.2100000000000009</v>
      </c>
      <c r="N19" s="835">
        <v>0.25</v>
      </c>
      <c r="O19" s="832">
        <f t="shared" si="0"/>
        <v>160.1</v>
      </c>
      <c r="P19" s="574"/>
      <c r="Q19" s="858" t="s">
        <v>452</v>
      </c>
      <c r="R19" s="566"/>
    </row>
    <row r="20" spans="1:18" ht="15" customHeight="1" x14ac:dyDescent="0.25">
      <c r="A20" s="856">
        <v>45800</v>
      </c>
      <c r="B20" s="845">
        <v>8</v>
      </c>
      <c r="C20" s="845">
        <v>24</v>
      </c>
      <c r="D20" s="845">
        <v>1034</v>
      </c>
      <c r="E20" s="845" t="s">
        <v>439</v>
      </c>
      <c r="F20" s="845" t="s">
        <v>439</v>
      </c>
      <c r="G20" s="862" t="s">
        <v>447</v>
      </c>
      <c r="H20" s="845" t="s">
        <v>356</v>
      </c>
      <c r="I20" s="845" t="s">
        <v>433</v>
      </c>
      <c r="J20" s="845" t="s">
        <v>441</v>
      </c>
      <c r="K20" s="845">
        <v>2</v>
      </c>
      <c r="L20" s="863">
        <f>VLOOKUP(B20,'FORM F1 SUB - STD BUS'!$B$17:L61,11,FALSE)</f>
        <v>78.8</v>
      </c>
      <c r="M20" s="847">
        <v>8.2100000000000009</v>
      </c>
      <c r="N20" s="835">
        <v>0.25</v>
      </c>
      <c r="O20" s="832">
        <f t="shared" si="0"/>
        <v>161.74</v>
      </c>
      <c r="P20" s="574"/>
      <c r="Q20" s="858" t="s">
        <v>452</v>
      </c>
      <c r="R20" s="566"/>
    </row>
    <row r="21" spans="1:18" ht="15" customHeight="1" x14ac:dyDescent="0.25">
      <c r="A21" s="856">
        <v>45790</v>
      </c>
      <c r="B21" s="845" t="s">
        <v>442</v>
      </c>
      <c r="C21" s="845">
        <v>22</v>
      </c>
      <c r="D21" s="845">
        <v>1026</v>
      </c>
      <c r="E21" s="857" t="s">
        <v>443</v>
      </c>
      <c r="F21" s="857" t="s">
        <v>443</v>
      </c>
      <c r="G21" s="845" t="s">
        <v>444</v>
      </c>
      <c r="H21" s="845" t="s">
        <v>356</v>
      </c>
      <c r="I21" s="845" t="s">
        <v>433</v>
      </c>
      <c r="J21" s="845" t="s">
        <v>445</v>
      </c>
      <c r="K21" s="845">
        <v>3</v>
      </c>
      <c r="L21" s="863">
        <f>VLOOKUP(B21,'FORM F1 SUB - STD BUS'!$B$17:L59,11,FALSE)</f>
        <v>117.5</v>
      </c>
      <c r="M21" s="847">
        <v>8.2100000000000009</v>
      </c>
      <c r="N21" s="835">
        <v>0.4</v>
      </c>
      <c r="O21" s="832">
        <f t="shared" si="0"/>
        <v>385.87</v>
      </c>
      <c r="P21" s="574"/>
      <c r="Q21" s="858" t="s">
        <v>452</v>
      </c>
      <c r="R21" s="566"/>
    </row>
    <row r="22" spans="1:18" ht="15" customHeight="1" x14ac:dyDescent="0.25">
      <c r="A22" s="856">
        <v>45792</v>
      </c>
      <c r="B22" s="845" t="s">
        <v>379</v>
      </c>
      <c r="C22" s="845">
        <v>22</v>
      </c>
      <c r="D22" s="845">
        <v>1032</v>
      </c>
      <c r="E22" s="857" t="s">
        <v>450</v>
      </c>
      <c r="F22" s="857" t="s">
        <v>450</v>
      </c>
      <c r="G22" s="845" t="s">
        <v>451</v>
      </c>
      <c r="H22" s="845" t="s">
        <v>356</v>
      </c>
      <c r="I22" s="845" t="s">
        <v>433</v>
      </c>
      <c r="J22" s="845" t="s">
        <v>445</v>
      </c>
      <c r="K22" s="845">
        <v>3</v>
      </c>
      <c r="L22" s="863">
        <f>VLOOKUP(B22,'FORM F1 SUB - STD BUS'!$B$17:L64,11,FALSE)</f>
        <v>117.5</v>
      </c>
      <c r="M22" s="847">
        <v>8.2100000000000009</v>
      </c>
      <c r="N22" s="835">
        <v>0.4</v>
      </c>
      <c r="O22" s="832">
        <f t="shared" ref="O22" si="1">ROUND(L22*M22*N22,2)</f>
        <v>385.87</v>
      </c>
      <c r="P22" s="574"/>
      <c r="Q22" s="841" t="s">
        <v>453</v>
      </c>
      <c r="R22" s="566"/>
    </row>
    <row r="23" spans="1:18" ht="15" customHeight="1" x14ac:dyDescent="0.25">
      <c r="A23" s="850"/>
      <c r="B23" s="848"/>
      <c r="C23" s="848"/>
      <c r="D23" s="848"/>
      <c r="E23" s="848"/>
      <c r="F23" s="849"/>
      <c r="G23" s="848"/>
      <c r="H23" s="848"/>
      <c r="I23" s="848"/>
      <c r="J23" s="848"/>
      <c r="K23" s="848"/>
      <c r="L23" s="858"/>
      <c r="M23" s="847"/>
      <c r="N23" s="835"/>
      <c r="O23" s="832"/>
      <c r="P23" s="574"/>
      <c r="Q23" s="841"/>
      <c r="R23" s="842"/>
    </row>
    <row r="24" spans="1:18" ht="15" customHeight="1" x14ac:dyDescent="0.25">
      <c r="A24" s="850"/>
      <c r="B24" s="848"/>
      <c r="C24" s="848"/>
      <c r="D24" s="848"/>
      <c r="E24" s="848"/>
      <c r="F24" s="849"/>
      <c r="G24" s="848"/>
      <c r="H24" s="848"/>
      <c r="I24" s="848"/>
      <c r="J24" s="848"/>
      <c r="K24" s="848"/>
      <c r="L24" s="848"/>
      <c r="M24" s="847"/>
      <c r="N24" s="835"/>
      <c r="O24" s="832"/>
      <c r="P24" s="574"/>
      <c r="Q24" s="841"/>
      <c r="R24" s="842"/>
    </row>
    <row r="25" spans="1:18" ht="15" customHeight="1" x14ac:dyDescent="0.25">
      <c r="A25" s="850"/>
      <c r="B25" s="848"/>
      <c r="C25" s="848"/>
      <c r="D25" s="848"/>
      <c r="E25" s="848"/>
      <c r="F25" s="849"/>
      <c r="G25" s="848"/>
      <c r="H25" s="848"/>
      <c r="I25" s="848"/>
      <c r="J25" s="848"/>
      <c r="K25" s="848"/>
      <c r="L25" s="848"/>
      <c r="M25" s="847"/>
      <c r="N25" s="835"/>
      <c r="O25" s="832"/>
      <c r="P25" s="574"/>
      <c r="Q25" s="841"/>
      <c r="R25" s="842"/>
    </row>
    <row r="26" spans="1:18" ht="15" customHeight="1" x14ac:dyDescent="0.25">
      <c r="A26" s="850"/>
      <c r="B26" s="848"/>
      <c r="C26" s="848"/>
      <c r="D26" s="848"/>
      <c r="E26" s="848"/>
      <c r="F26" s="849"/>
      <c r="G26" s="848"/>
      <c r="H26" s="848"/>
      <c r="I26" s="848"/>
      <c r="J26" s="848"/>
      <c r="K26" s="848"/>
      <c r="L26" s="848"/>
      <c r="M26" s="847"/>
      <c r="N26" s="835"/>
      <c r="O26" s="832"/>
      <c r="P26" s="574"/>
      <c r="Q26" s="841"/>
      <c r="R26" s="842"/>
    </row>
    <row r="27" spans="1:18" ht="15" customHeight="1" x14ac:dyDescent="0.25">
      <c r="A27" s="850"/>
      <c r="B27" s="848"/>
      <c r="C27" s="848"/>
      <c r="D27" s="848"/>
      <c r="E27" s="848"/>
      <c r="F27" s="849"/>
      <c r="G27" s="848"/>
      <c r="H27" s="848"/>
      <c r="I27" s="848"/>
      <c r="J27" s="848"/>
      <c r="K27" s="848"/>
      <c r="L27" s="848"/>
      <c r="M27" s="847"/>
      <c r="N27" s="835"/>
      <c r="O27" s="832"/>
      <c r="P27" s="574"/>
      <c r="Q27" s="841"/>
      <c r="R27" s="842"/>
    </row>
    <row r="28" spans="1:18" ht="15" customHeight="1" x14ac:dyDescent="0.25">
      <c r="A28" s="843"/>
      <c r="B28" s="841"/>
      <c r="C28" s="841"/>
      <c r="D28" s="841"/>
      <c r="E28" s="841"/>
      <c r="F28" s="844"/>
      <c r="G28" s="841"/>
      <c r="H28" s="841"/>
      <c r="I28" s="841"/>
      <c r="J28" s="841"/>
      <c r="K28" s="841"/>
      <c r="L28" s="841"/>
      <c r="M28" s="847"/>
      <c r="N28" s="835"/>
      <c r="O28" s="832"/>
      <c r="P28" s="574"/>
      <c r="Q28" s="841"/>
      <c r="R28" s="566"/>
    </row>
    <row r="29" spans="1:18" ht="14.5" x14ac:dyDescent="0.35">
      <c r="A29" s="837"/>
      <c r="B29" s="838"/>
      <c r="C29" s="838"/>
      <c r="D29" s="838"/>
      <c r="E29" s="838"/>
      <c r="F29" s="839"/>
      <c r="G29" s="838"/>
      <c r="H29" s="840"/>
      <c r="I29" s="840"/>
      <c r="J29" s="840"/>
      <c r="K29" s="838"/>
      <c r="L29" s="845"/>
      <c r="M29" s="846"/>
      <c r="N29" s="835"/>
      <c r="O29" s="832"/>
      <c r="P29" s="574"/>
      <c r="Q29" s="838"/>
      <c r="R29" s="566"/>
    </row>
    <row r="30" spans="1:18" x14ac:dyDescent="0.25">
      <c r="A30" s="817"/>
      <c r="B30" s="818"/>
      <c r="C30" s="818"/>
      <c r="D30" s="818"/>
      <c r="E30" s="819"/>
      <c r="F30" s="818"/>
      <c r="G30" s="818"/>
      <c r="H30" s="591"/>
      <c r="I30" s="591"/>
      <c r="J30" s="591"/>
      <c r="K30" s="818"/>
      <c r="L30" s="818"/>
      <c r="M30" s="818"/>
      <c r="N30" s="818"/>
      <c r="O30" s="832"/>
      <c r="P30" s="574"/>
      <c r="Q30" s="572"/>
      <c r="R30" s="566"/>
    </row>
    <row r="31" spans="1:18" x14ac:dyDescent="0.25">
      <c r="A31" s="820"/>
      <c r="B31" s="821"/>
      <c r="C31" s="821"/>
      <c r="D31" s="821"/>
      <c r="E31" s="821"/>
      <c r="F31" s="824"/>
      <c r="G31" s="821"/>
      <c r="H31" s="823"/>
      <c r="I31" s="823"/>
      <c r="J31" s="823"/>
      <c r="K31" s="821"/>
      <c r="L31" s="822"/>
      <c r="M31" s="825"/>
      <c r="N31" s="821"/>
      <c r="O31" s="573"/>
      <c r="P31" s="574"/>
      <c r="Q31" s="572"/>
      <c r="R31" s="566"/>
    </row>
    <row r="32" spans="1:18" x14ac:dyDescent="0.25">
      <c r="A32" s="567"/>
      <c r="B32" s="567"/>
      <c r="C32" s="554"/>
      <c r="D32" s="554"/>
      <c r="E32" s="554"/>
      <c r="F32" s="554"/>
      <c r="G32" s="554"/>
      <c r="H32" s="554"/>
      <c r="I32" s="554"/>
      <c r="J32" s="554"/>
      <c r="K32" s="567"/>
      <c r="L32" s="568"/>
      <c r="M32" s="569"/>
      <c r="N32" s="570"/>
      <c r="O32" s="571"/>
      <c r="P32" s="571"/>
      <c r="Q32" s="554"/>
    </row>
    <row r="33" spans="1:17" ht="12.75" customHeight="1" x14ac:dyDescent="0.3">
      <c r="A33" s="341"/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168"/>
      <c r="M33" s="936" t="s">
        <v>26</v>
      </c>
      <c r="N33" s="937"/>
      <c r="O33" s="798">
        <f>SUM(O14:O32)</f>
        <v>1889.3399999999997</v>
      </c>
      <c r="P33" s="362"/>
      <c r="Q33" s="360"/>
    </row>
    <row r="34" spans="1:17" ht="12.75" customHeight="1" x14ac:dyDescent="0.3">
      <c r="A34" s="52"/>
      <c r="B34" s="52"/>
      <c r="C34" s="52"/>
      <c r="D34" s="52"/>
      <c r="E34" s="52"/>
      <c r="F34" s="52"/>
      <c r="G34" s="52"/>
      <c r="H34" s="52"/>
      <c r="I34" s="360"/>
      <c r="J34" s="360"/>
      <c r="K34" s="360"/>
      <c r="L34" s="168"/>
      <c r="M34" s="938" t="s">
        <v>405</v>
      </c>
      <c r="N34" s="938"/>
      <c r="O34" s="799"/>
      <c r="P34" s="362"/>
      <c r="Q34" s="360"/>
    </row>
    <row r="35" spans="1:17" ht="12.75" customHeight="1" x14ac:dyDescent="0.3">
      <c r="A35" s="599" t="s">
        <v>155</v>
      </c>
      <c r="B35" s="932" t="s">
        <v>154</v>
      </c>
      <c r="C35" s="932"/>
      <c r="D35" s="932"/>
      <c r="E35" s="577" t="s">
        <v>347</v>
      </c>
      <c r="F35" s="577" t="s">
        <v>330</v>
      </c>
      <c r="G35" s="599" t="s">
        <v>332</v>
      </c>
      <c r="H35" s="599" t="s">
        <v>333</v>
      </c>
      <c r="I35" s="360"/>
      <c r="J35" s="360"/>
      <c r="K35" s="360"/>
      <c r="L35" s="168"/>
      <c r="M35" s="939" t="s">
        <v>69</v>
      </c>
      <c r="N35" s="939"/>
      <c r="O35" s="800">
        <f>O33+O34</f>
        <v>1889.3399999999997</v>
      </c>
      <c r="P35" s="362"/>
      <c r="Q35" s="360"/>
    </row>
    <row r="36" spans="1:17" ht="12.75" customHeight="1" x14ac:dyDescent="0.3">
      <c r="A36" s="561">
        <v>1</v>
      </c>
      <c r="B36" s="933" t="s">
        <v>312</v>
      </c>
      <c r="C36" s="934"/>
      <c r="D36" s="935"/>
      <c r="E36" s="588"/>
      <c r="F36" s="589">
        <v>0.4</v>
      </c>
      <c r="G36" s="597">
        <v>100</v>
      </c>
      <c r="H36" s="786" t="s">
        <v>389</v>
      </c>
      <c r="I36" s="360"/>
      <c r="J36" s="360"/>
      <c r="K36" s="360"/>
      <c r="L36" s="168"/>
      <c r="M36" s="361"/>
      <c r="N36" s="363"/>
      <c r="O36" s="362"/>
      <c r="P36" s="362"/>
      <c r="Q36" s="360"/>
    </row>
    <row r="37" spans="1:17" ht="12.75" customHeight="1" x14ac:dyDescent="0.3">
      <c r="A37" s="561">
        <v>2</v>
      </c>
      <c r="B37" s="933" t="s">
        <v>313</v>
      </c>
      <c r="C37" s="934"/>
      <c r="D37" s="935"/>
      <c r="E37" s="590"/>
      <c r="F37" s="589">
        <v>0.25</v>
      </c>
      <c r="G37" s="591"/>
      <c r="H37" s="786" t="s">
        <v>389</v>
      </c>
      <c r="I37" s="360"/>
      <c r="J37" s="360"/>
      <c r="K37" s="360"/>
      <c r="L37" s="168"/>
      <c r="M37" s="361"/>
      <c r="N37" s="363"/>
      <c r="O37" s="362"/>
      <c r="P37" s="362"/>
      <c r="Q37" s="360"/>
    </row>
    <row r="38" spans="1:17" ht="12.75" customHeight="1" x14ac:dyDescent="0.3">
      <c r="A38" s="561">
        <v>3</v>
      </c>
      <c r="B38" s="933" t="s">
        <v>314</v>
      </c>
      <c r="C38" s="934"/>
      <c r="D38" s="935"/>
      <c r="E38" s="590"/>
      <c r="F38" s="589">
        <v>0.4</v>
      </c>
      <c r="G38" s="591"/>
      <c r="H38" s="786" t="s">
        <v>389</v>
      </c>
      <c r="I38"/>
      <c r="J38"/>
      <c r="K38"/>
      <c r="L38"/>
      <c r="M38"/>
      <c r="N38"/>
      <c r="O38"/>
      <c r="P38" s="364"/>
    </row>
    <row r="39" spans="1:17" ht="12.75" customHeight="1" x14ac:dyDescent="0.3">
      <c r="A39" s="561">
        <v>4</v>
      </c>
      <c r="B39" s="933" t="s">
        <v>315</v>
      </c>
      <c r="C39" s="934"/>
      <c r="D39" s="935"/>
      <c r="E39" s="590"/>
      <c r="F39" s="589">
        <v>0</v>
      </c>
      <c r="G39" s="592"/>
      <c r="H39" s="786" t="s">
        <v>389</v>
      </c>
      <c r="I39"/>
      <c r="J39"/>
      <c r="K39"/>
      <c r="L39"/>
      <c r="M39"/>
      <c r="N39"/>
      <c r="O39"/>
    </row>
    <row r="40" spans="1:17" ht="12.75" customHeight="1" x14ac:dyDescent="0.3">
      <c r="A40" s="561">
        <v>5</v>
      </c>
      <c r="B40" s="933" t="s">
        <v>316</v>
      </c>
      <c r="C40" s="934"/>
      <c r="D40" s="935"/>
      <c r="E40" s="588"/>
      <c r="F40" s="589">
        <v>0.4</v>
      </c>
      <c r="G40" s="587"/>
      <c r="H40" s="786" t="s">
        <v>389</v>
      </c>
      <c r="I40"/>
      <c r="J40"/>
      <c r="K40"/>
      <c r="L40"/>
      <c r="M40"/>
      <c r="N40"/>
      <c r="O40"/>
    </row>
    <row r="41" spans="1:17" ht="12.75" customHeight="1" x14ac:dyDescent="0.25">
      <c r="A41" s="561">
        <v>6</v>
      </c>
      <c r="B41" s="933" t="s">
        <v>317</v>
      </c>
      <c r="C41" s="934"/>
      <c r="D41" s="935"/>
      <c r="E41" s="590"/>
      <c r="F41" s="589">
        <v>0.4</v>
      </c>
      <c r="G41" s="592"/>
      <c r="H41" s="598" t="s">
        <v>51</v>
      </c>
      <c r="I41"/>
      <c r="J41"/>
      <c r="K41"/>
      <c r="L41"/>
      <c r="M41"/>
      <c r="N41"/>
      <c r="O41"/>
    </row>
    <row r="42" spans="1:17" ht="12.75" customHeight="1" x14ac:dyDescent="0.25">
      <c r="A42" s="561">
        <v>7</v>
      </c>
      <c r="B42" s="933" t="s">
        <v>318</v>
      </c>
      <c r="C42" s="934"/>
      <c r="D42" s="935"/>
      <c r="E42" s="600">
        <v>100</v>
      </c>
      <c r="F42" s="589">
        <v>0</v>
      </c>
      <c r="G42" s="592"/>
      <c r="H42" s="598" t="s">
        <v>51</v>
      </c>
      <c r="I42"/>
      <c r="J42"/>
      <c r="K42"/>
      <c r="L42"/>
      <c r="M42"/>
      <c r="N42"/>
      <c r="O42"/>
    </row>
    <row r="43" spans="1:17" ht="12.75" customHeight="1" x14ac:dyDescent="0.25">
      <c r="A43" s="561">
        <v>8</v>
      </c>
      <c r="B43" s="933" t="s">
        <v>319</v>
      </c>
      <c r="C43" s="934"/>
      <c r="D43" s="935"/>
      <c r="E43" s="601">
        <v>200</v>
      </c>
      <c r="F43" s="589">
        <v>0</v>
      </c>
      <c r="G43" s="591"/>
      <c r="H43" s="598" t="s">
        <v>51</v>
      </c>
      <c r="I43"/>
      <c r="J43"/>
      <c r="K43"/>
      <c r="L43"/>
      <c r="M43"/>
      <c r="N43"/>
      <c r="O43"/>
    </row>
    <row r="44" spans="1:17" ht="12.75" customHeight="1" x14ac:dyDescent="0.25">
      <c r="A44" s="561">
        <v>9</v>
      </c>
      <c r="B44" s="933" t="s">
        <v>320</v>
      </c>
      <c r="C44" s="934"/>
      <c r="D44" s="935"/>
      <c r="E44" s="600">
        <v>60</v>
      </c>
      <c r="F44" s="589">
        <v>0</v>
      </c>
      <c r="G44" s="591"/>
      <c r="H44" s="598" t="s">
        <v>51</v>
      </c>
      <c r="I44"/>
      <c r="J44"/>
      <c r="K44"/>
      <c r="L44"/>
      <c r="M44"/>
      <c r="N44"/>
      <c r="O44"/>
    </row>
    <row r="45" spans="1:17" ht="12.75" customHeight="1" x14ac:dyDescent="0.25">
      <c r="A45" s="561">
        <v>10.1</v>
      </c>
      <c r="B45" s="933" t="s">
        <v>321</v>
      </c>
      <c r="C45" s="934"/>
      <c r="D45" s="935"/>
      <c r="E45" s="601">
        <v>30</v>
      </c>
      <c r="F45" s="589">
        <v>0</v>
      </c>
      <c r="G45" s="591"/>
      <c r="H45" s="598" t="s">
        <v>51</v>
      </c>
      <c r="I45"/>
      <c r="J45"/>
      <c r="K45"/>
      <c r="L45"/>
      <c r="M45"/>
      <c r="N45"/>
      <c r="O45"/>
    </row>
    <row r="46" spans="1:17" ht="12.75" customHeight="1" x14ac:dyDescent="0.25">
      <c r="A46" s="561">
        <v>10.199999999999999</v>
      </c>
      <c r="B46" s="933" t="s">
        <v>322</v>
      </c>
      <c r="C46" s="934"/>
      <c r="D46" s="935"/>
      <c r="E46" s="600">
        <v>120</v>
      </c>
      <c r="F46" s="589">
        <v>0</v>
      </c>
      <c r="G46" s="591"/>
      <c r="H46" s="598" t="s">
        <v>51</v>
      </c>
      <c r="I46"/>
      <c r="J46"/>
      <c r="K46"/>
      <c r="L46"/>
      <c r="M46"/>
      <c r="N46"/>
      <c r="O46"/>
      <c r="P46" s="365"/>
    </row>
    <row r="47" spans="1:17" ht="12.75" customHeight="1" x14ac:dyDescent="0.25">
      <c r="A47" s="561">
        <v>10.3</v>
      </c>
      <c r="B47" s="933" t="s">
        <v>323</v>
      </c>
      <c r="C47" s="934"/>
      <c r="D47" s="935"/>
      <c r="E47" s="600">
        <v>30</v>
      </c>
      <c r="F47" s="589">
        <v>0</v>
      </c>
      <c r="G47" s="591"/>
      <c r="H47" s="598" t="s">
        <v>51</v>
      </c>
      <c r="I47"/>
      <c r="J47"/>
      <c r="K47"/>
      <c r="L47"/>
      <c r="M47"/>
      <c r="N47"/>
      <c r="O47"/>
      <c r="P47" s="365"/>
    </row>
    <row r="48" spans="1:17" ht="12.75" customHeight="1" x14ac:dyDescent="0.25">
      <c r="A48" s="561">
        <v>10.4</v>
      </c>
      <c r="B48" s="933" t="s">
        <v>324</v>
      </c>
      <c r="C48" s="934"/>
      <c r="D48" s="935"/>
      <c r="E48" s="600">
        <v>120</v>
      </c>
      <c r="F48" s="589">
        <v>0</v>
      </c>
      <c r="G48" s="591"/>
      <c r="H48" s="598" t="s">
        <v>51</v>
      </c>
      <c r="I48"/>
      <c r="J48"/>
      <c r="K48"/>
      <c r="L48"/>
      <c r="M48"/>
      <c r="N48"/>
      <c r="O48"/>
    </row>
    <row r="49" spans="1:15" ht="12.75" customHeight="1" x14ac:dyDescent="0.25">
      <c r="A49" s="561">
        <v>11</v>
      </c>
      <c r="B49" s="933" t="s">
        <v>325</v>
      </c>
      <c r="C49" s="934"/>
      <c r="D49" s="935"/>
      <c r="E49" s="600">
        <v>100</v>
      </c>
      <c r="F49" s="589">
        <v>0</v>
      </c>
      <c r="G49" s="591"/>
      <c r="H49" s="598" t="s">
        <v>51</v>
      </c>
      <c r="I49"/>
      <c r="J49"/>
      <c r="K49"/>
      <c r="L49"/>
      <c r="M49"/>
      <c r="N49"/>
      <c r="O49"/>
    </row>
    <row r="50" spans="1:15" x14ac:dyDescent="0.25">
      <c r="A50" s="561">
        <v>12</v>
      </c>
      <c r="B50" s="933" t="s">
        <v>326</v>
      </c>
      <c r="C50" s="934"/>
      <c r="D50" s="935"/>
      <c r="E50" s="600">
        <v>100</v>
      </c>
      <c r="F50" s="589">
        <v>0</v>
      </c>
      <c r="G50" s="591"/>
      <c r="H50" s="598" t="s">
        <v>51</v>
      </c>
    </row>
    <row r="51" spans="1:15" x14ac:dyDescent="0.25">
      <c r="A51" s="561">
        <v>13</v>
      </c>
      <c r="B51" s="933" t="s">
        <v>327</v>
      </c>
      <c r="C51" s="934"/>
      <c r="D51" s="935"/>
      <c r="E51" s="601"/>
      <c r="F51" s="570">
        <v>0.03</v>
      </c>
      <c r="G51" s="593"/>
      <c r="H51" s="598" t="s">
        <v>51</v>
      </c>
    </row>
    <row r="52" spans="1:15" x14ac:dyDescent="0.25">
      <c r="A52" s="561">
        <v>14</v>
      </c>
      <c r="B52" s="933" t="s">
        <v>328</v>
      </c>
      <c r="C52" s="934"/>
      <c r="D52" s="935"/>
      <c r="E52" s="602"/>
      <c r="F52" s="570">
        <v>0</v>
      </c>
      <c r="G52" s="593"/>
      <c r="H52" s="598" t="s">
        <v>51</v>
      </c>
    </row>
    <row r="53" spans="1:15" x14ac:dyDescent="0.25">
      <c r="A53" s="561">
        <v>15</v>
      </c>
      <c r="B53" s="933" t="s">
        <v>329</v>
      </c>
      <c r="C53" s="934"/>
      <c r="D53" s="935"/>
      <c r="E53" s="594"/>
      <c r="F53" s="570">
        <v>0.4</v>
      </c>
      <c r="G53" s="593"/>
      <c r="H53" s="598" t="s">
        <v>51</v>
      </c>
    </row>
  </sheetData>
  <autoFilter ref="B1:B53" xr:uid="{DBE14880-3FA5-4395-90EF-B2813CCF2C12}"/>
  <sortState xmlns:xlrd2="http://schemas.microsoft.com/office/spreadsheetml/2017/richdata2" ref="A14:IV22">
    <sortCondition ref="K14:K22"/>
    <sortCondition ref="A14:A22"/>
    <sortCondition ref="I14:I22"/>
  </sortState>
  <mergeCells count="24">
    <mergeCell ref="B53:D53"/>
    <mergeCell ref="B48:D48"/>
    <mergeCell ref="B49:D49"/>
    <mergeCell ref="B50:D50"/>
    <mergeCell ref="B51:D51"/>
    <mergeCell ref="B52:D52"/>
    <mergeCell ref="B43:D43"/>
    <mergeCell ref="B44:D44"/>
    <mergeCell ref="B45:D45"/>
    <mergeCell ref="B46:D46"/>
    <mergeCell ref="B47:D47"/>
    <mergeCell ref="B38:D38"/>
    <mergeCell ref="B39:D39"/>
    <mergeCell ref="B40:D40"/>
    <mergeCell ref="B41:D41"/>
    <mergeCell ref="B42:D42"/>
    <mergeCell ref="J7:M7"/>
    <mergeCell ref="A1:Q1"/>
    <mergeCell ref="B35:D35"/>
    <mergeCell ref="B36:D36"/>
    <mergeCell ref="B37:D37"/>
    <mergeCell ref="M33:N33"/>
    <mergeCell ref="M34:N34"/>
    <mergeCell ref="M35:N35"/>
  </mergeCells>
  <phoneticPr fontId="5" type="noConversion"/>
  <pageMargins left="0.74803149606299213" right="0.74803149606299213" top="0.59055118110236227" bottom="0.98425196850393704" header="0.51181102362204722" footer="0.51181102362204722"/>
  <pageSetup paperSize="9" scale="63" orientation="landscape" horizontalDpi="4294967292" verticalDpi="4294967292" r:id="rId1"/>
  <headerFooter alignWithMargins="0">
    <oddFooter>Page &amp;P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2"/>
  <sheetViews>
    <sheetView view="pageBreakPreview" topLeftCell="A10" zoomScale="70" zoomScaleNormal="125" zoomScaleSheetLayoutView="70" workbookViewId="0">
      <selection activeCell="D16" sqref="D16"/>
    </sheetView>
  </sheetViews>
  <sheetFormatPr defaultColWidth="8.81640625" defaultRowHeight="12.5" x14ac:dyDescent="0.25"/>
  <cols>
    <col min="1" max="1" width="9.7265625" customWidth="1"/>
    <col min="2" max="2" width="23.54296875" customWidth="1"/>
    <col min="3" max="3" width="13.81640625" customWidth="1"/>
    <col min="4" max="4" width="17.54296875" customWidth="1"/>
    <col min="5" max="5" width="14" bestFit="1" customWidth="1"/>
    <col min="6" max="6" width="12.7265625" customWidth="1"/>
    <col min="7" max="7" width="13.6328125" bestFit="1" customWidth="1"/>
    <col min="8" max="8" width="12.1796875" customWidth="1"/>
    <col min="9" max="9" width="20.54296875" customWidth="1"/>
  </cols>
  <sheetData>
    <row r="1" spans="1:9" x14ac:dyDescent="0.25">
      <c r="D1" s="56" t="s">
        <v>256</v>
      </c>
    </row>
    <row r="2" spans="1:9" x14ac:dyDescent="0.25">
      <c r="F2" s="1"/>
      <c r="G2" s="1"/>
      <c r="H2" s="1"/>
      <c r="I2" s="56"/>
    </row>
    <row r="3" spans="1:9" ht="13" x14ac:dyDescent="0.3">
      <c r="A3" s="50" t="s">
        <v>0</v>
      </c>
      <c r="C3" s="534" t="str">
        <f>'FORM A'!C3</f>
        <v>PROVISION OF PUBLIC PASSENGER TRANSPORT MKUZE AND SURROUNDING</v>
      </c>
      <c r="E3" s="1"/>
      <c r="F3" s="1"/>
      <c r="G3" s="1"/>
      <c r="H3" s="1"/>
      <c r="I3" s="56"/>
    </row>
    <row r="4" spans="1:9" x14ac:dyDescent="0.25">
      <c r="B4" s="6"/>
      <c r="C4" s="6"/>
      <c r="D4" s="6"/>
      <c r="E4" s="6"/>
      <c r="I4" s="6"/>
    </row>
    <row r="5" spans="1:9" ht="13" x14ac:dyDescent="0.3">
      <c r="A5" s="50" t="str">
        <f>'FORM A'!A6</f>
        <v>CONTRACT : ZNT 1129</v>
      </c>
      <c r="B5" s="8"/>
      <c r="C5" s="8"/>
      <c r="D5" s="50" t="s">
        <v>2</v>
      </c>
      <c r="E5" s="946" t="str">
        <f>'FORM A'!F6</f>
        <v>Ripple Effect 40 (Pty) Ltd</v>
      </c>
      <c r="F5" s="947"/>
      <c r="G5" s="947"/>
      <c r="H5" s="947"/>
      <c r="I5" s="947"/>
    </row>
    <row r="6" spans="1:9" x14ac:dyDescent="0.25">
      <c r="A6" s="8"/>
      <c r="B6" s="8"/>
      <c r="C6" s="21"/>
      <c r="D6" s="42"/>
      <c r="E6" s="8"/>
      <c r="F6" s="8"/>
      <c r="G6" s="8"/>
      <c r="H6" s="8"/>
    </row>
    <row r="7" spans="1:9" ht="13" x14ac:dyDescent="0.3">
      <c r="A7" s="50" t="s">
        <v>3</v>
      </c>
      <c r="B7" s="8"/>
      <c r="C7" s="103">
        <f>+'FORM G1'!E7</f>
        <v>320</v>
      </c>
      <c r="D7" s="50" t="s">
        <v>4</v>
      </c>
      <c r="E7" s="948">
        <f>'FORM A'!F8</f>
        <v>45778</v>
      </c>
      <c r="F7" s="949"/>
      <c r="G7" s="7"/>
      <c r="H7" s="7"/>
    </row>
    <row r="8" spans="1:9" x14ac:dyDescent="0.25">
      <c r="B8" s="1"/>
      <c r="C8" s="7"/>
      <c r="D8" s="7"/>
      <c r="E8" s="1"/>
      <c r="F8" s="1"/>
      <c r="G8" s="1"/>
      <c r="H8" s="1"/>
      <c r="I8" s="1"/>
    </row>
    <row r="9" spans="1:9" x14ac:dyDescent="0.25">
      <c r="A9" s="55" t="s">
        <v>106</v>
      </c>
      <c r="B9" s="1"/>
      <c r="C9" s="7"/>
      <c r="D9" s="7"/>
      <c r="E9" s="1"/>
      <c r="F9" s="1"/>
      <c r="G9" s="1"/>
      <c r="H9" s="1"/>
      <c r="I9" s="1"/>
    </row>
    <row r="10" spans="1:9" ht="13" x14ac:dyDescent="0.3">
      <c r="A10" s="52"/>
      <c r="B10" s="55"/>
      <c r="C10" s="55"/>
      <c r="D10" s="55"/>
      <c r="E10" s="55"/>
      <c r="F10" s="55"/>
      <c r="G10" s="55"/>
      <c r="H10" s="55"/>
      <c r="I10" s="55"/>
    </row>
    <row r="11" spans="1:9" x14ac:dyDescent="0.25">
      <c r="A11" s="79"/>
      <c r="B11" s="940"/>
      <c r="C11" s="941"/>
      <c r="D11" s="942"/>
      <c r="E11" s="79"/>
      <c r="F11" s="80"/>
      <c r="G11" s="80"/>
      <c r="H11" s="80"/>
      <c r="I11" s="79"/>
    </row>
    <row r="12" spans="1:9" x14ac:dyDescent="0.25">
      <c r="A12" s="77" t="s">
        <v>65</v>
      </c>
      <c r="B12" s="943" t="s">
        <v>120</v>
      </c>
      <c r="C12" s="944"/>
      <c r="D12" s="945"/>
      <c r="E12" s="81"/>
      <c r="F12" s="82"/>
      <c r="G12" s="82"/>
      <c r="H12" s="82"/>
      <c r="I12" s="81"/>
    </row>
    <row r="13" spans="1:9" x14ac:dyDescent="0.25">
      <c r="A13" s="77" t="s">
        <v>119</v>
      </c>
      <c r="B13" s="75"/>
      <c r="C13" s="77"/>
      <c r="D13" s="77" t="s">
        <v>123</v>
      </c>
      <c r="E13" s="77" t="s">
        <v>26</v>
      </c>
      <c r="F13" s="75" t="s">
        <v>65</v>
      </c>
      <c r="G13" s="75" t="s">
        <v>65</v>
      </c>
      <c r="H13" s="75" t="s">
        <v>404</v>
      </c>
      <c r="I13" s="77" t="s">
        <v>26</v>
      </c>
    </row>
    <row r="14" spans="1:9" ht="13" x14ac:dyDescent="0.3">
      <c r="A14" s="83"/>
      <c r="B14" s="76" t="s">
        <v>121</v>
      </c>
      <c r="C14" s="67" t="s">
        <v>122</v>
      </c>
      <c r="D14" s="67" t="s">
        <v>121</v>
      </c>
      <c r="E14" s="67" t="s">
        <v>85</v>
      </c>
      <c r="F14" s="76" t="s">
        <v>124</v>
      </c>
      <c r="G14" s="76" t="s">
        <v>162</v>
      </c>
      <c r="H14" s="76" t="s">
        <v>65</v>
      </c>
      <c r="I14" s="67"/>
    </row>
    <row r="15" spans="1:9" ht="13" x14ac:dyDescent="0.3">
      <c r="A15" s="84" t="s">
        <v>20</v>
      </c>
      <c r="B15" s="85">
        <v>2</v>
      </c>
      <c r="C15" s="86">
        <v>3</v>
      </c>
      <c r="D15" s="87">
        <v>4</v>
      </c>
      <c r="E15" s="87">
        <v>5</v>
      </c>
      <c r="F15" s="88">
        <v>6</v>
      </c>
      <c r="G15" s="85">
        <v>7</v>
      </c>
      <c r="H15" s="85"/>
      <c r="I15" s="87">
        <v>8</v>
      </c>
    </row>
    <row r="16" spans="1:9" x14ac:dyDescent="0.25">
      <c r="A16" s="39">
        <v>1</v>
      </c>
      <c r="B16" s="39">
        <f>COUNTIFS('FORM G1'!$K$14:$K$31,'FORM G2'!$A$16:$A$33,'FORM G1'!$Q$14:$Q$31,"OP")</f>
        <v>0</v>
      </c>
      <c r="C16" s="39">
        <f>COUNTIFS('FORM G1'!$K$14:$K$31,'FORM G2'!$A$16:$A$33,'FORM G1'!$Q$14:$Q$31,"TESS")</f>
        <v>0</v>
      </c>
      <c r="D16" s="39">
        <f>COUNTIFS('FORM G1'!$K$14:$K$31,'FORM G2'!$A$16:$A$33,'FORM G1'!$Q$14:$Q$31,"TESS/OP")</f>
        <v>0</v>
      </c>
      <c r="E16" s="73">
        <f>SUM(B16:D16)</f>
        <v>0</v>
      </c>
      <c r="F16" s="105">
        <f>SUMIF('FORM G1'!$K$14:$K$31,'FORM G2'!$A$16:$A$33,'FORM G1'!$O$14:$O$31)</f>
        <v>0</v>
      </c>
      <c r="G16" s="595" cm="1">
        <f t="array" ref="G16:G33">SUMIFS('FORM G1'!$L$14:$L$31,'FORM G1'!$K$14:$K$31,'FORM G2'!$A$16:$A$33)</f>
        <v>0</v>
      </c>
      <c r="H16" s="595"/>
      <c r="I16" s="538">
        <f t="shared" ref="I16:I33" si="0">F16+H16</f>
        <v>0</v>
      </c>
    </row>
    <row r="17" spans="1:11" x14ac:dyDescent="0.25">
      <c r="A17" s="39">
        <v>2</v>
      </c>
      <c r="B17" s="39">
        <f>COUNTIFS('FORM G1'!$K$14:$K$31,'FORM G2'!$A$16:$A$33,'FORM G1'!$Q$14:$Q$31,"OP")</f>
        <v>5</v>
      </c>
      <c r="C17" s="39">
        <f>COUNTIFS('FORM G1'!$K$14:$K$31,'FORM G2'!$A$16:$A$33,'FORM G1'!$Q$14:$Q$31,"TESS")</f>
        <v>0</v>
      </c>
      <c r="D17" s="39">
        <f>COUNTIFS('FORM G1'!$K$14:$K$31,'FORM G2'!$A$16:$A$33,'FORM G1'!$Q$14:$Q$31,"TESS/OP")</f>
        <v>2</v>
      </c>
      <c r="E17" s="73">
        <f>SUM(B17:D17)</f>
        <v>7</v>
      </c>
      <c r="F17" s="105">
        <f>SUMIF('FORM G1'!$K$14:$K$31,'FORM G2'!$A$16:$A$33,'FORM G1'!$O$14:$O$31)</f>
        <v>1117.5999999999999</v>
      </c>
      <c r="G17" s="596">
        <v>544.5</v>
      </c>
      <c r="H17" s="538"/>
      <c r="I17" s="538">
        <f t="shared" si="0"/>
        <v>1117.5999999999999</v>
      </c>
    </row>
    <row r="18" spans="1:11" x14ac:dyDescent="0.25">
      <c r="A18" s="39">
        <v>3</v>
      </c>
      <c r="B18" s="39">
        <f>COUNTIFS('FORM G1'!$K$14:$K$31,'FORM G2'!$A$16:$A$33,'FORM G1'!$Q$14:$Q$31,"OP")</f>
        <v>1</v>
      </c>
      <c r="C18" s="39">
        <f>COUNTIFS('FORM G1'!$K$14:$K$31,'FORM G2'!$A$16:$A$33,'FORM G1'!$Q$14:$Q$31,"TESS")</f>
        <v>0</v>
      </c>
      <c r="D18" s="39">
        <f>COUNTIFS('FORM G1'!$K$14:$K$31,'FORM G2'!$A$16:$A$33,'FORM G1'!$Q$14:$Q$31,"TESS/OP")</f>
        <v>1</v>
      </c>
      <c r="E18" s="73">
        <f>SUM(B18:D18)</f>
        <v>2</v>
      </c>
      <c r="F18" s="105">
        <f>SUMIF('FORM G1'!$K$14:$K$31,'FORM G2'!$A$16:$A$33,'FORM G1'!$O$14:$O$31)</f>
        <v>771.74</v>
      </c>
      <c r="G18" s="596">
        <v>235</v>
      </c>
      <c r="H18" s="595"/>
      <c r="I18" s="538">
        <f t="shared" si="0"/>
        <v>771.74</v>
      </c>
      <c r="K18" s="100">
        <f>G16+G19+G32+G33</f>
        <v>0</v>
      </c>
    </row>
    <row r="19" spans="1:11" x14ac:dyDescent="0.25">
      <c r="A19" s="39">
        <v>4</v>
      </c>
      <c r="B19" s="39">
        <f>COUNTIFS('FORM G1'!$K$14:$K$31,'FORM G2'!$A$16:$A$33,'FORM G1'!$Q$14:$Q$31,"OP")</f>
        <v>0</v>
      </c>
      <c r="C19" s="39">
        <f>COUNTIFS('FORM G1'!$K$14:$K$31,'FORM G2'!$A$16:$A$33,'FORM G1'!$Q$14:$Q$31,"TESS")</f>
        <v>0</v>
      </c>
      <c r="D19" s="39">
        <f>COUNTIFS('FORM G1'!$K$14:$K$31,'FORM G2'!$A$16:$A$33,'FORM G1'!$Q$14:$Q$31,"TESS/OP")</f>
        <v>0</v>
      </c>
      <c r="E19" s="73">
        <f>SUM(B19:D19)</f>
        <v>0</v>
      </c>
      <c r="F19" s="105">
        <f>SUMIF('FORM G1'!$K$14:$K$31,'FORM G2'!$A$16:$A$33,'FORM G1'!$O$14:$O$31)</f>
        <v>0</v>
      </c>
      <c r="G19" s="595">
        <v>0</v>
      </c>
      <c r="H19" s="595"/>
      <c r="I19" s="538">
        <f t="shared" si="0"/>
        <v>0</v>
      </c>
    </row>
    <row r="20" spans="1:11" x14ac:dyDescent="0.25">
      <c r="A20" s="39">
        <v>5</v>
      </c>
      <c r="B20" s="39">
        <f>COUNTIFS('FORM G1'!$K$14:$K$31,'FORM G2'!$A$16:$A$33,'FORM G1'!$Q$14:$Q$31,"OP")</f>
        <v>0</v>
      </c>
      <c r="C20" s="39">
        <f>COUNTIFS('FORM G1'!$K$14:$K$31,'FORM G2'!$A$16:$A$33,'FORM G1'!$Q$14:$Q$31,"TESS")</f>
        <v>0</v>
      </c>
      <c r="D20" s="39">
        <f>COUNTIFS('FORM G1'!$K$14:$K$31,'FORM G2'!$A$16:$A$33,'FORM G1'!$Q$14:$Q$31,"TESS/OP")</f>
        <v>0</v>
      </c>
      <c r="E20" s="73">
        <f t="shared" ref="E20:E21" si="1">SUM(B20:D20)</f>
        <v>0</v>
      </c>
      <c r="F20" s="105">
        <f>SUMIF('FORM G1'!$K$14:$K$31,'FORM G2'!$A$16:$A$33,'FORM G1'!$O$14:$O$31)</f>
        <v>0</v>
      </c>
      <c r="G20" s="596">
        <v>0</v>
      </c>
      <c r="H20" s="595">
        <f>F20</f>
        <v>0</v>
      </c>
      <c r="I20" s="538">
        <f t="shared" si="0"/>
        <v>0</v>
      </c>
      <c r="K20" s="100"/>
    </row>
    <row r="21" spans="1:11" x14ac:dyDescent="0.25">
      <c r="A21" s="39">
        <v>6</v>
      </c>
      <c r="B21" s="39">
        <f>COUNTIFS('FORM G1'!$K$14:$K$31,'FORM G2'!$A$16:$A$33,'FORM G1'!$Q$14:$Q$31,"OP")</f>
        <v>0</v>
      </c>
      <c r="C21" s="39">
        <f>COUNTIFS('FORM G1'!$K$14:$K$31,'FORM G2'!$A$16:$A$33,'FORM G1'!$Q$14:$Q$31,"TESS")</f>
        <v>0</v>
      </c>
      <c r="D21" s="39">
        <f>COUNTIFS('FORM G1'!$K$14:$K$31,'FORM G2'!$A$16:$A$33,'FORM G1'!$Q$14:$Q$31,"TESS/OP")</f>
        <v>0</v>
      </c>
      <c r="E21" s="73">
        <f t="shared" si="1"/>
        <v>0</v>
      </c>
      <c r="F21" s="105">
        <f>SUMIF('FORM G1'!$K$14:$K$31,'FORM G2'!$A$16:$A$33,'FORM G1'!$O$14:$O$31)</f>
        <v>0</v>
      </c>
      <c r="G21" s="596">
        <v>0</v>
      </c>
      <c r="H21" s="595"/>
      <c r="I21" s="538">
        <f t="shared" si="0"/>
        <v>0</v>
      </c>
      <c r="K21" s="100"/>
    </row>
    <row r="22" spans="1:11" x14ac:dyDescent="0.25">
      <c r="A22" s="39">
        <v>7</v>
      </c>
      <c r="B22" s="39">
        <f>COUNTIFS('FORM G1'!$K$14:$K$31,'FORM G2'!$A$16:$A$33,'FORM G1'!$Q$14:$Q$31,"OP")</f>
        <v>0</v>
      </c>
      <c r="C22" s="39">
        <f>COUNTIFS('FORM G1'!$K$14:$K$31,'FORM G2'!$A$16:$A$33,'FORM G1'!$Q$14:$Q$31,"TESS")</f>
        <v>0</v>
      </c>
      <c r="D22" s="39">
        <f>COUNTIFS('FORM G1'!$K$14:$K$31,'FORM G2'!$A$16:$A$33,'FORM G1'!$Q$14:$Q$31,"TESS/OP")</f>
        <v>0</v>
      </c>
      <c r="E22" s="73">
        <f t="shared" ref="E22:E31" si="2">SUM(B22:D22)</f>
        <v>0</v>
      </c>
      <c r="F22" s="105">
        <f>SUMIF('FORM G1'!$K$14:$K$31,'FORM G2'!$A$16:$A$33,'FORM G1'!$O$14:$O$31)</f>
        <v>0</v>
      </c>
      <c r="G22" s="596">
        <v>0</v>
      </c>
      <c r="H22" s="595"/>
      <c r="I22" s="538">
        <f t="shared" si="0"/>
        <v>0</v>
      </c>
      <c r="K22" s="100"/>
    </row>
    <row r="23" spans="1:11" x14ac:dyDescent="0.25">
      <c r="A23" s="39">
        <v>8</v>
      </c>
      <c r="B23" s="39">
        <f>COUNTIFS('FORM G1'!$K$14:$K$31,'FORM G2'!$A$16:$A$33,'FORM G1'!$Q$14:$Q$31,"OP")</f>
        <v>0</v>
      </c>
      <c r="C23" s="39">
        <f>COUNTIFS('FORM G1'!$K$14:$K$31,'FORM G2'!$A$16:$A$33,'FORM G1'!$Q$14:$Q$31,"TESS")</f>
        <v>0</v>
      </c>
      <c r="D23" s="39">
        <f>COUNTIFS('FORM G1'!$K$14:$K$31,'FORM G2'!$A$16:$A$33,'FORM G1'!$Q$14:$Q$31,"TESS/OP")</f>
        <v>0</v>
      </c>
      <c r="E23" s="73">
        <f t="shared" si="2"/>
        <v>0</v>
      </c>
      <c r="F23" s="105">
        <f>SUMIF('FORM G1'!$K$14:$K$31,'FORM G2'!$A$16:$A$33,'FORM G1'!$O$14:$O$31)</f>
        <v>0</v>
      </c>
      <c r="G23" s="596">
        <v>0</v>
      </c>
      <c r="H23" s="595"/>
      <c r="I23" s="538">
        <f t="shared" si="0"/>
        <v>0</v>
      </c>
      <c r="K23" s="100"/>
    </row>
    <row r="24" spans="1:11" x14ac:dyDescent="0.25">
      <c r="A24" s="39">
        <v>9</v>
      </c>
      <c r="B24" s="39">
        <f>COUNTIFS('FORM G1'!$K$14:$K$31,'FORM G2'!$A$16:$A$33,'FORM G1'!$Q$14:$Q$31,"OP")</f>
        <v>0</v>
      </c>
      <c r="C24" s="39">
        <f>COUNTIFS('FORM G1'!$K$14:$K$31,'FORM G2'!$A$16:$A$33,'FORM G1'!$Q$14:$Q$31,"TESS")</f>
        <v>0</v>
      </c>
      <c r="D24" s="39">
        <f>COUNTIFS('FORM G1'!$K$14:$K$31,'FORM G2'!$A$16:$A$33,'FORM G1'!$Q$14:$Q$31,"TESS/OP")</f>
        <v>0</v>
      </c>
      <c r="E24" s="73">
        <f t="shared" si="2"/>
        <v>0</v>
      </c>
      <c r="F24" s="105">
        <f>SUMIF('FORM G1'!$K$14:$K$31,'FORM G2'!$A$16:$A$33,'FORM G1'!$O$14:$O$31)</f>
        <v>0</v>
      </c>
      <c r="G24" s="596">
        <v>0</v>
      </c>
      <c r="H24" s="595"/>
      <c r="I24" s="538">
        <f t="shared" si="0"/>
        <v>0</v>
      </c>
      <c r="K24" s="100"/>
    </row>
    <row r="25" spans="1:11" x14ac:dyDescent="0.25">
      <c r="A25" s="39">
        <v>10.1</v>
      </c>
      <c r="B25" s="39">
        <f>COUNTIFS('FORM G1'!$K$14:$K$31,'FORM G2'!$A$16:$A$33,'FORM G1'!$Q$14:$Q$31,"OP")</f>
        <v>0</v>
      </c>
      <c r="C25" s="39">
        <f>COUNTIFS('FORM G1'!$K$14:$K$31,'FORM G2'!$A$16:$A$33,'FORM G1'!$Q$14:$Q$31,"TESS")</f>
        <v>0</v>
      </c>
      <c r="D25" s="39">
        <f>COUNTIFS('FORM G1'!$K$14:$K$31,'FORM G2'!$A$16:$A$33,'FORM G1'!$Q$14:$Q$31,"TESS/OP")</f>
        <v>0</v>
      </c>
      <c r="E25" s="73">
        <f t="shared" si="2"/>
        <v>0</v>
      </c>
      <c r="F25" s="105">
        <f>SUMIF('FORM G1'!$K$14:$K$31,'FORM G2'!$A$16:$A$33,'FORM G1'!$O$14:$O$31)</f>
        <v>0</v>
      </c>
      <c r="G25" s="596">
        <v>0</v>
      </c>
      <c r="H25" s="595"/>
      <c r="I25" s="538">
        <f t="shared" si="0"/>
        <v>0</v>
      </c>
    </row>
    <row r="26" spans="1:11" x14ac:dyDescent="0.25">
      <c r="A26" s="39">
        <v>10.199999999999999</v>
      </c>
      <c r="B26" s="39">
        <f>COUNTIFS('FORM G1'!$K$14:$K$31,'FORM G2'!$A$16:$A$33,'FORM G1'!$Q$14:$Q$31,"OP")</f>
        <v>0</v>
      </c>
      <c r="C26" s="39">
        <f>COUNTIFS('FORM G1'!$K$14:$K$31,'FORM G2'!$A$16:$A$33,'FORM G1'!$Q$14:$Q$31,"TESS")</f>
        <v>0</v>
      </c>
      <c r="D26" s="39">
        <f>COUNTIFS('FORM G1'!$K$14:$K$31,'FORM G2'!$A$16:$A$33,'FORM G1'!$Q$14:$Q$31,"TESS/OP")</f>
        <v>0</v>
      </c>
      <c r="E26" s="73">
        <f t="shared" si="2"/>
        <v>0</v>
      </c>
      <c r="F26" s="105">
        <f>SUMIF('FORM G1'!$K$14:$K$31,'FORM G2'!$A$16:$A$33,'FORM G1'!$O$14:$O$31)</f>
        <v>0</v>
      </c>
      <c r="G26" s="596">
        <v>0</v>
      </c>
      <c r="H26" s="595"/>
      <c r="I26" s="538">
        <f t="shared" si="0"/>
        <v>0</v>
      </c>
    </row>
    <row r="27" spans="1:11" x14ac:dyDescent="0.25">
      <c r="A27" s="39">
        <v>10.3</v>
      </c>
      <c r="B27" s="39">
        <f>COUNTIFS('FORM G1'!$K$14:$K$31,'FORM G2'!$A$16:$A$33,'FORM G1'!$Q$14:$Q$31,"OP")</f>
        <v>0</v>
      </c>
      <c r="C27" s="39">
        <f>COUNTIFS('FORM G1'!$K$14:$K$31,'FORM G2'!$A$16:$A$33,'FORM G1'!$Q$14:$Q$31,"TESS")</f>
        <v>0</v>
      </c>
      <c r="D27" s="39">
        <f>COUNTIFS('FORM G1'!$K$14:$K$31,'FORM G2'!$A$16:$A$33,'FORM G1'!$Q$14:$Q$31,"TESS/OP")</f>
        <v>0</v>
      </c>
      <c r="E27" s="73">
        <f t="shared" si="2"/>
        <v>0</v>
      </c>
      <c r="F27" s="105">
        <f>SUMIF('FORM G1'!$K$14:$K$31,'FORM G2'!$A$16:$A$33,'FORM G1'!$O$14:$O$31)</f>
        <v>0</v>
      </c>
      <c r="G27" s="596">
        <v>0</v>
      </c>
      <c r="H27" s="595"/>
      <c r="I27" s="538">
        <f t="shared" si="0"/>
        <v>0</v>
      </c>
    </row>
    <row r="28" spans="1:11" x14ac:dyDescent="0.25">
      <c r="A28" s="39">
        <v>10.4</v>
      </c>
      <c r="B28" s="39">
        <f>COUNTIFS('FORM G1'!$K$14:$K$31,'FORM G2'!$A$16:$A$33,'FORM G1'!$Q$14:$Q$31,"OP")</f>
        <v>0</v>
      </c>
      <c r="C28" s="39">
        <f>COUNTIFS('FORM G1'!$K$14:$K$31,'FORM G2'!$A$16:$A$33,'FORM G1'!$Q$14:$Q$31,"TESS")</f>
        <v>0</v>
      </c>
      <c r="D28" s="39">
        <f>COUNTIFS('FORM G1'!$K$14:$K$31,'FORM G2'!$A$16:$A$33,'FORM G1'!$Q$14:$Q$31,"TESS/OP")</f>
        <v>0</v>
      </c>
      <c r="E28" s="73">
        <f t="shared" si="2"/>
        <v>0</v>
      </c>
      <c r="F28" s="105">
        <f>SUMIF('FORM G1'!$K$14:$K$31,'FORM G2'!$A$16:$A$33,'FORM G1'!$O$14:$O$31)</f>
        <v>0</v>
      </c>
      <c r="G28" s="596">
        <v>0</v>
      </c>
      <c r="H28" s="595"/>
      <c r="I28" s="538">
        <f t="shared" si="0"/>
        <v>0</v>
      </c>
    </row>
    <row r="29" spans="1:11" x14ac:dyDescent="0.25">
      <c r="A29" s="39">
        <v>11</v>
      </c>
      <c r="B29" s="39">
        <f>COUNTIFS('FORM G1'!$K$14:$K$31,'FORM G2'!$A$16:$A$33,'FORM G1'!$Q$14:$Q$31,"OP")</f>
        <v>0</v>
      </c>
      <c r="C29" s="39">
        <f>COUNTIFS('FORM G1'!$K$14:$K$31,'FORM G2'!$A$16:$A$33,'FORM G1'!$Q$14:$Q$31,"TESS")</f>
        <v>0</v>
      </c>
      <c r="D29" s="39">
        <f>COUNTIFS('FORM G1'!$K$14:$K$31,'FORM G2'!$A$16:$A$33,'FORM G1'!$Q$14:$Q$31,"TESS/OP")</f>
        <v>0</v>
      </c>
      <c r="E29" s="73">
        <f t="shared" si="2"/>
        <v>0</v>
      </c>
      <c r="F29" s="105">
        <f>SUMIF('FORM G1'!$K$14:$K$31,'FORM G2'!$A$16:$A$33,'FORM G1'!$O$14:$O$31)</f>
        <v>0</v>
      </c>
      <c r="G29" s="596">
        <v>0</v>
      </c>
      <c r="H29" s="595"/>
      <c r="I29" s="538">
        <f t="shared" si="0"/>
        <v>0</v>
      </c>
    </row>
    <row r="30" spans="1:11" x14ac:dyDescent="0.25">
      <c r="A30" s="537">
        <v>12</v>
      </c>
      <c r="B30" s="39">
        <f>COUNTIFS('FORM G1'!$K$14:$K$31,'FORM G2'!$A$16:$A$33,'FORM G1'!$Q$14:$Q$31,"OP")</f>
        <v>0</v>
      </c>
      <c r="C30" s="39">
        <f>COUNTIFS('FORM G1'!$K$14:$K$31,'FORM G2'!$A$16:$A$33,'FORM G1'!$Q$14:$Q$31,"TESS")</f>
        <v>0</v>
      </c>
      <c r="D30" s="39">
        <f>COUNTIFS('FORM G1'!$K$14:$K$31,'FORM G2'!$A$16:$A$33,'FORM G1'!$Q$14:$Q$31,"TESS/OP")</f>
        <v>0</v>
      </c>
      <c r="E30" s="73">
        <f t="shared" si="2"/>
        <v>0</v>
      </c>
      <c r="F30" s="105">
        <f>SUMIF('FORM G1'!$K$14:$K$31,'FORM G2'!$A$16:$A$33,'FORM G1'!$O$14:$O$31)</f>
        <v>0</v>
      </c>
      <c r="G30" s="596">
        <v>0</v>
      </c>
      <c r="H30" s="595"/>
      <c r="I30" s="538">
        <f t="shared" si="0"/>
        <v>0</v>
      </c>
    </row>
    <row r="31" spans="1:11" x14ac:dyDescent="0.25">
      <c r="A31" s="537">
        <v>13</v>
      </c>
      <c r="B31" s="39">
        <f>COUNTIFS('FORM G1'!$K$14:$K$31,'FORM G2'!$A$16:$A$33,'FORM G1'!$Q$14:$Q$31,"OP")</f>
        <v>0</v>
      </c>
      <c r="C31" s="39">
        <f>COUNTIFS('FORM G1'!$K$14:$K$31,'FORM G2'!$A$16:$A$33,'FORM G1'!$Q$14:$Q$31,"TESS")</f>
        <v>0</v>
      </c>
      <c r="D31" s="39">
        <f>COUNTIFS('FORM G1'!$K$14:$K$31,'FORM G2'!$A$16:$A$33,'FORM G1'!$Q$14:$Q$31,"TESS/OP")</f>
        <v>0</v>
      </c>
      <c r="E31" s="73">
        <f t="shared" si="2"/>
        <v>0</v>
      </c>
      <c r="F31" s="105">
        <f>SUMIF('FORM G1'!$K$14:$K$31,'FORM G2'!$A$16:$A$33,'FORM G1'!$O$14:$O$31)</f>
        <v>0</v>
      </c>
      <c r="G31" s="596">
        <v>0</v>
      </c>
      <c r="H31" s="595"/>
      <c r="I31" s="538">
        <f t="shared" si="0"/>
        <v>0</v>
      </c>
    </row>
    <row r="32" spans="1:11" x14ac:dyDescent="0.25">
      <c r="A32" s="537">
        <v>14</v>
      </c>
      <c r="B32" s="39">
        <f>COUNTIFS('FORM G1'!$K$14:$K$31,'FORM G2'!$A$16:$A$33,'FORM G1'!$Q$14:$Q$31,"OP")</f>
        <v>0</v>
      </c>
      <c r="C32" s="39">
        <f>COUNTIFS('FORM G1'!$K$14:$K$31,'FORM G2'!$A$16:$A$33,'FORM G1'!$Q$14:$Q$31,"TESS")</f>
        <v>0</v>
      </c>
      <c r="D32" s="39">
        <f>COUNTIFS('FORM G1'!$K$14:$K$31,'FORM G2'!$A$16:$A$33,'FORM G1'!$Q$14:$Q$31,"TESS/OP")</f>
        <v>0</v>
      </c>
      <c r="E32" s="73">
        <f t="shared" ref="E32:E33" si="3">SUM(B32:D32)</f>
        <v>0</v>
      </c>
      <c r="F32" s="105">
        <f>SUMIF('FORM G1'!$K$14:$K$31,'FORM G2'!$A$16:$A$33,'FORM G1'!$O$14:$O$31)</f>
        <v>0</v>
      </c>
      <c r="G32" s="595">
        <v>0</v>
      </c>
      <c r="H32" s="595"/>
      <c r="I32" s="538">
        <f t="shared" si="0"/>
        <v>0</v>
      </c>
    </row>
    <row r="33" spans="1:10" x14ac:dyDescent="0.25">
      <c r="A33" s="537">
        <v>15</v>
      </c>
      <c r="B33" s="39">
        <f>COUNTIFS('FORM G1'!$K$14:$K$31,'FORM G2'!$A$16:$A$33,'FORM G1'!$Q$14:$Q$31,"OP")</f>
        <v>0</v>
      </c>
      <c r="C33" s="39">
        <f>COUNTIFS('FORM G1'!$K$14:$K$31,'FORM G2'!$A$16:$A$33,'FORM G1'!$Q$14:$Q$31,"TESS")</f>
        <v>0</v>
      </c>
      <c r="D33" s="39">
        <f>COUNTIFS('FORM G1'!$K$14:$K$31,'FORM G2'!$A$16:$A$33,'FORM G1'!$Q$14:$Q$31,"TESS/OP")</f>
        <v>0</v>
      </c>
      <c r="E33" s="73">
        <f t="shared" si="3"/>
        <v>0</v>
      </c>
      <c r="F33" s="105">
        <f>SUMIF('FORM G1'!$K$14:$K$31,'FORM G2'!$A$16:$A$33,'FORM G1'!$O$14:$O$31)</f>
        <v>0</v>
      </c>
      <c r="G33" s="595">
        <v>0</v>
      </c>
      <c r="H33" s="595"/>
      <c r="I33" s="538">
        <f t="shared" si="0"/>
        <v>0</v>
      </c>
    </row>
    <row r="34" spans="1:10" x14ac:dyDescent="0.25">
      <c r="A34" s="90"/>
      <c r="B34" s="89"/>
      <c r="C34" s="89"/>
      <c r="D34" s="89"/>
      <c r="E34" s="535"/>
      <c r="F34" s="536"/>
      <c r="G34" s="536"/>
      <c r="H34" s="536"/>
      <c r="I34" s="833"/>
    </row>
    <row r="35" spans="1:10" ht="13" x14ac:dyDescent="0.3">
      <c r="A35" s="90"/>
      <c r="B35" s="89"/>
      <c r="C35" s="92" t="s">
        <v>62</v>
      </c>
      <c r="D35" s="93"/>
      <c r="E35" s="94">
        <f>SUM(E16:E33)</f>
        <v>9</v>
      </c>
      <c r="F35" s="95" t="s">
        <v>125</v>
      </c>
      <c r="G35" s="95"/>
      <c r="H35" s="95"/>
      <c r="I35" s="575">
        <f>SUM(I16:I33)</f>
        <v>1889.34</v>
      </c>
    </row>
    <row r="36" spans="1:10" x14ac:dyDescent="0.25">
      <c r="A36" s="68"/>
      <c r="B36" s="59"/>
      <c r="C36" s="59"/>
      <c r="D36" s="59"/>
      <c r="E36" s="59"/>
    </row>
    <row r="37" spans="1:10" x14ac:dyDescent="0.25">
      <c r="A37" s="68"/>
      <c r="B37" s="59"/>
      <c r="C37" s="59"/>
      <c r="D37" s="59"/>
    </row>
    <row r="38" spans="1:10" ht="13" x14ac:dyDescent="0.3">
      <c r="A38" s="52" t="s">
        <v>334</v>
      </c>
      <c r="B38" s="1"/>
      <c r="C38" s="1"/>
      <c r="D38" s="1"/>
      <c r="E38" s="1"/>
      <c r="F38" s="1"/>
      <c r="G38" s="1"/>
      <c r="H38" s="1"/>
      <c r="I38" s="1"/>
    </row>
    <row r="39" spans="1:10" x14ac:dyDescent="0.25">
      <c r="B39" s="1"/>
      <c r="C39" s="1"/>
      <c r="D39" s="1"/>
      <c r="E39" s="1"/>
      <c r="F39" s="1"/>
      <c r="G39" s="1"/>
      <c r="H39" s="1"/>
      <c r="I39" s="1"/>
    </row>
    <row r="40" spans="1:10" ht="13" x14ac:dyDescent="0.3">
      <c r="A40" s="599" t="s">
        <v>155</v>
      </c>
      <c r="B40" s="932" t="s">
        <v>154</v>
      </c>
      <c r="C40" s="932"/>
      <c r="D40" s="932"/>
      <c r="E40" s="577" t="s">
        <v>331</v>
      </c>
      <c r="F40" s="577" t="s">
        <v>330</v>
      </c>
      <c r="G40" s="599" t="s">
        <v>332</v>
      </c>
      <c r="H40" s="599"/>
      <c r="I40" s="599" t="s">
        <v>333</v>
      </c>
      <c r="J40" s="52"/>
    </row>
    <row r="41" spans="1:10" ht="13" x14ac:dyDescent="0.3">
      <c r="A41" s="561">
        <v>1</v>
      </c>
      <c r="B41" s="933" t="s">
        <v>312</v>
      </c>
      <c r="C41" s="934"/>
      <c r="D41" s="935"/>
      <c r="E41" s="588"/>
      <c r="F41" s="589">
        <v>0.4</v>
      </c>
      <c r="G41" s="597">
        <v>100</v>
      </c>
      <c r="H41" s="597"/>
      <c r="I41" s="786" t="s">
        <v>389</v>
      </c>
      <c r="J41" s="7"/>
    </row>
    <row r="42" spans="1:10" ht="13" x14ac:dyDescent="0.3">
      <c r="A42" s="561">
        <v>2</v>
      </c>
      <c r="B42" s="933" t="s">
        <v>313</v>
      </c>
      <c r="C42" s="934"/>
      <c r="D42" s="935"/>
      <c r="E42" s="590"/>
      <c r="F42" s="589">
        <v>0.25</v>
      </c>
      <c r="G42" s="591"/>
      <c r="H42" s="591"/>
      <c r="I42" s="786" t="s">
        <v>389</v>
      </c>
      <c r="J42" s="7"/>
    </row>
    <row r="43" spans="1:10" ht="13" x14ac:dyDescent="0.3">
      <c r="A43" s="561">
        <v>3</v>
      </c>
      <c r="B43" s="933" t="s">
        <v>314</v>
      </c>
      <c r="C43" s="934"/>
      <c r="D43" s="935"/>
      <c r="E43" s="590"/>
      <c r="F43" s="589">
        <v>0.4</v>
      </c>
      <c r="G43" s="591"/>
      <c r="H43" s="591"/>
      <c r="I43" s="786" t="s">
        <v>389</v>
      </c>
      <c r="J43" s="7"/>
    </row>
    <row r="44" spans="1:10" ht="13" x14ac:dyDescent="0.3">
      <c r="A44" s="561">
        <v>4</v>
      </c>
      <c r="B44" s="933" t="s">
        <v>315</v>
      </c>
      <c r="C44" s="934"/>
      <c r="D44" s="935"/>
      <c r="E44" s="590"/>
      <c r="F44" s="589">
        <v>0</v>
      </c>
      <c r="G44" s="592"/>
      <c r="H44" s="592"/>
      <c r="I44" s="786" t="s">
        <v>389</v>
      </c>
      <c r="J44" s="7"/>
    </row>
    <row r="45" spans="1:10" ht="13" x14ac:dyDescent="0.3">
      <c r="A45" s="561">
        <v>5</v>
      </c>
      <c r="B45" s="933" t="s">
        <v>316</v>
      </c>
      <c r="C45" s="934"/>
      <c r="D45" s="935"/>
      <c r="E45" s="588"/>
      <c r="F45" s="589">
        <v>0.4</v>
      </c>
      <c r="G45" s="587"/>
      <c r="H45" s="587"/>
      <c r="I45" s="786" t="s">
        <v>389</v>
      </c>
      <c r="J45" s="128"/>
    </row>
    <row r="46" spans="1:10" x14ac:dyDescent="0.25">
      <c r="A46" s="561">
        <v>6</v>
      </c>
      <c r="B46" s="933" t="s">
        <v>317</v>
      </c>
      <c r="C46" s="934"/>
      <c r="D46" s="935"/>
      <c r="E46" s="590"/>
      <c r="F46" s="589">
        <v>0.4</v>
      </c>
      <c r="G46" s="592"/>
      <c r="H46" s="592"/>
      <c r="I46" s="598" t="s">
        <v>51</v>
      </c>
      <c r="J46" s="128"/>
    </row>
    <row r="47" spans="1:10" x14ac:dyDescent="0.25">
      <c r="A47" s="561">
        <v>7</v>
      </c>
      <c r="B47" s="933" t="s">
        <v>318</v>
      </c>
      <c r="C47" s="934"/>
      <c r="D47" s="935"/>
      <c r="E47" s="600">
        <v>100</v>
      </c>
      <c r="F47" s="589">
        <v>0</v>
      </c>
      <c r="G47" s="592"/>
      <c r="H47" s="592"/>
      <c r="I47" s="598" t="s">
        <v>51</v>
      </c>
    </row>
    <row r="48" spans="1:10" x14ac:dyDescent="0.25">
      <c r="A48" s="561">
        <v>8</v>
      </c>
      <c r="B48" s="933" t="s">
        <v>319</v>
      </c>
      <c r="C48" s="934"/>
      <c r="D48" s="935"/>
      <c r="E48" s="601">
        <v>200</v>
      </c>
      <c r="F48" s="589">
        <v>0</v>
      </c>
      <c r="G48" s="591"/>
      <c r="H48" s="591"/>
      <c r="I48" s="598" t="s">
        <v>51</v>
      </c>
      <c r="J48" s="128"/>
    </row>
    <row r="49" spans="1:11" x14ac:dyDescent="0.25">
      <c r="A49" s="561">
        <v>9</v>
      </c>
      <c r="B49" s="933" t="s">
        <v>320</v>
      </c>
      <c r="C49" s="934"/>
      <c r="D49" s="935"/>
      <c r="E49" s="600">
        <v>60</v>
      </c>
      <c r="F49" s="589">
        <v>0</v>
      </c>
      <c r="G49" s="591"/>
      <c r="H49" s="591"/>
      <c r="I49" s="598" t="s">
        <v>51</v>
      </c>
      <c r="J49" s="128"/>
    </row>
    <row r="50" spans="1:11" x14ac:dyDescent="0.25">
      <c r="A50" s="561">
        <v>10.1</v>
      </c>
      <c r="B50" s="933" t="s">
        <v>321</v>
      </c>
      <c r="C50" s="934"/>
      <c r="D50" s="935"/>
      <c r="E50" s="601">
        <v>30</v>
      </c>
      <c r="F50" s="589">
        <v>0</v>
      </c>
      <c r="G50" s="591"/>
      <c r="H50" s="591"/>
      <c r="I50" s="598" t="s">
        <v>51</v>
      </c>
      <c r="J50" s="129"/>
    </row>
    <row r="51" spans="1:11" ht="13" customHeight="1" x14ac:dyDescent="0.25">
      <c r="A51" s="561">
        <v>10.199999999999999</v>
      </c>
      <c r="B51" s="933" t="s">
        <v>322</v>
      </c>
      <c r="C51" s="934"/>
      <c r="D51" s="935"/>
      <c r="E51" s="600">
        <v>120</v>
      </c>
      <c r="F51" s="589">
        <v>0</v>
      </c>
      <c r="G51" s="591"/>
      <c r="H51" s="591"/>
      <c r="I51" s="598" t="s">
        <v>51</v>
      </c>
      <c r="J51" s="129"/>
    </row>
    <row r="52" spans="1:11" ht="13" customHeight="1" x14ac:dyDescent="0.25">
      <c r="A52" s="561">
        <v>10.3</v>
      </c>
      <c r="B52" s="933" t="s">
        <v>323</v>
      </c>
      <c r="C52" s="934"/>
      <c r="D52" s="935"/>
      <c r="E52" s="600">
        <v>30</v>
      </c>
      <c r="F52" s="589">
        <v>0</v>
      </c>
      <c r="G52" s="591"/>
      <c r="H52" s="591"/>
      <c r="I52" s="598" t="s">
        <v>51</v>
      </c>
      <c r="J52" s="129"/>
    </row>
    <row r="53" spans="1:11" ht="13" customHeight="1" x14ac:dyDescent="0.25">
      <c r="A53" s="561">
        <v>10.4</v>
      </c>
      <c r="B53" s="933" t="s">
        <v>324</v>
      </c>
      <c r="C53" s="934"/>
      <c r="D53" s="935"/>
      <c r="E53" s="600">
        <v>120</v>
      </c>
      <c r="F53" s="589">
        <v>0</v>
      </c>
      <c r="G53" s="591"/>
      <c r="H53" s="591"/>
      <c r="I53" s="598" t="s">
        <v>51</v>
      </c>
      <c r="J53" s="130"/>
    </row>
    <row r="54" spans="1:11" ht="13" customHeight="1" x14ac:dyDescent="0.25">
      <c r="A54" s="561">
        <v>11</v>
      </c>
      <c r="B54" s="933" t="s">
        <v>325</v>
      </c>
      <c r="C54" s="934"/>
      <c r="D54" s="935"/>
      <c r="E54" s="600">
        <v>100</v>
      </c>
      <c r="F54" s="589">
        <v>0</v>
      </c>
      <c r="G54" s="591"/>
      <c r="H54" s="591"/>
      <c r="I54" s="598" t="s">
        <v>51</v>
      </c>
      <c r="J54" s="130"/>
    </row>
    <row r="55" spans="1:11" x14ac:dyDescent="0.25">
      <c r="A55" s="561">
        <v>12</v>
      </c>
      <c r="B55" s="933" t="s">
        <v>326</v>
      </c>
      <c r="C55" s="934"/>
      <c r="D55" s="935"/>
      <c r="E55" s="600">
        <v>100</v>
      </c>
      <c r="F55" s="589">
        <v>0</v>
      </c>
      <c r="G55" s="591"/>
      <c r="H55" s="591"/>
      <c r="I55" s="598" t="s">
        <v>51</v>
      </c>
      <c r="J55" s="130"/>
    </row>
    <row r="56" spans="1:11" x14ac:dyDescent="0.25">
      <c r="A56" s="561">
        <v>13</v>
      </c>
      <c r="B56" s="933" t="s">
        <v>327</v>
      </c>
      <c r="C56" s="934"/>
      <c r="D56" s="935"/>
      <c r="E56" s="601"/>
      <c r="F56" s="570">
        <v>0.03</v>
      </c>
      <c r="G56" s="593"/>
      <c r="H56" s="593"/>
      <c r="I56" s="598" t="s">
        <v>51</v>
      </c>
      <c r="J56" s="130"/>
    </row>
    <row r="57" spans="1:11" x14ac:dyDescent="0.25">
      <c r="A57" s="561">
        <v>14</v>
      </c>
      <c r="B57" s="933" t="s">
        <v>328</v>
      </c>
      <c r="C57" s="934"/>
      <c r="D57" s="935"/>
      <c r="E57" s="602"/>
      <c r="F57" s="570">
        <v>0</v>
      </c>
      <c r="G57" s="593"/>
      <c r="H57" s="593"/>
      <c r="I57" s="598" t="s">
        <v>51</v>
      </c>
      <c r="J57" s="130"/>
    </row>
    <row r="58" spans="1:11" x14ac:dyDescent="0.25">
      <c r="A58" s="561">
        <v>15</v>
      </c>
      <c r="B58" s="933" t="s">
        <v>329</v>
      </c>
      <c r="C58" s="934"/>
      <c r="D58" s="935"/>
      <c r="E58" s="594"/>
      <c r="F58" s="570">
        <v>0.4</v>
      </c>
      <c r="G58" s="593"/>
      <c r="H58" s="593"/>
      <c r="I58" s="598" t="s">
        <v>51</v>
      </c>
      <c r="J58" s="130"/>
    </row>
    <row r="59" spans="1:11" ht="13" x14ac:dyDescent="0.3">
      <c r="A59" s="78"/>
      <c r="B59" s="131"/>
      <c r="C59" s="131"/>
      <c r="D59" s="131"/>
      <c r="E59" s="130"/>
      <c r="F59" s="7"/>
      <c r="G59" s="7"/>
      <c r="H59" s="7"/>
      <c r="I59" s="7"/>
      <c r="J59" s="130"/>
    </row>
    <row r="60" spans="1:11" x14ac:dyDescent="0.25">
      <c r="A60" s="44"/>
      <c r="B60" s="45"/>
      <c r="C60" s="45"/>
      <c r="D60" s="45"/>
      <c r="F60" s="44"/>
      <c r="G60" s="44"/>
      <c r="H60" s="44"/>
      <c r="I60" s="46"/>
      <c r="K60" s="46"/>
    </row>
    <row r="61" spans="1:11" x14ac:dyDescent="0.25">
      <c r="A61" s="44"/>
      <c r="B61" s="44"/>
      <c r="C61" s="47"/>
      <c r="D61" s="45"/>
      <c r="F61" s="44"/>
      <c r="G61" s="44"/>
      <c r="H61" s="44"/>
      <c r="I61" s="46"/>
      <c r="K61" s="46"/>
    </row>
    <row r="62" spans="1:11" x14ac:dyDescent="0.25">
      <c r="A62" s="44"/>
      <c r="B62" s="44"/>
      <c r="C62" s="47"/>
      <c r="E62" s="44"/>
      <c r="I62" s="47"/>
    </row>
  </sheetData>
  <mergeCells count="23">
    <mergeCell ref="B57:D57"/>
    <mergeCell ref="B58:D58"/>
    <mergeCell ref="B40:D40"/>
    <mergeCell ref="B52:D52"/>
    <mergeCell ref="B53:D53"/>
    <mergeCell ref="B54:D54"/>
    <mergeCell ref="B55:D55"/>
    <mergeCell ref="B56:D56"/>
    <mergeCell ref="B47:D47"/>
    <mergeCell ref="B48:D48"/>
    <mergeCell ref="B49:D49"/>
    <mergeCell ref="B50:D50"/>
    <mergeCell ref="B51:D51"/>
    <mergeCell ref="B42:D42"/>
    <mergeCell ref="B43:D43"/>
    <mergeCell ref="B44:D44"/>
    <mergeCell ref="B45:D45"/>
    <mergeCell ref="B46:D46"/>
    <mergeCell ref="B11:D11"/>
    <mergeCell ref="B12:D12"/>
    <mergeCell ref="E5:I5"/>
    <mergeCell ref="E7:F7"/>
    <mergeCell ref="B41:D41"/>
  </mergeCells>
  <phoneticPr fontId="5" type="noConversion"/>
  <pageMargins left="0.75" right="0.75" top="1" bottom="1" header="0.5" footer="0.5"/>
  <pageSetup paperSize="9" scale="63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64"/>
  <sheetViews>
    <sheetView view="pageBreakPreview" topLeftCell="A51" zoomScale="70" zoomScaleNormal="125" zoomScaleSheetLayoutView="70" workbookViewId="0">
      <selection activeCell="M65" sqref="M65"/>
    </sheetView>
  </sheetViews>
  <sheetFormatPr defaultColWidth="9.1796875" defaultRowHeight="12.5" x14ac:dyDescent="0.25"/>
  <cols>
    <col min="1" max="1" width="12.1796875" customWidth="1"/>
    <col min="2" max="2" width="17" customWidth="1"/>
    <col min="3" max="3" width="7.453125" customWidth="1"/>
    <col min="4" max="4" width="27.7265625" customWidth="1"/>
    <col min="5" max="5" width="26.54296875" customWidth="1"/>
    <col min="6" max="6" width="8.1796875" style="78" customWidth="1"/>
    <col min="7" max="7" width="7" customWidth="1"/>
    <col min="8" max="8" width="7.453125" customWidth="1"/>
    <col min="9" max="9" width="6.7265625" customWidth="1"/>
    <col min="10" max="11" width="6.453125" customWidth="1"/>
    <col min="12" max="12" width="7.81640625" customWidth="1"/>
    <col min="13" max="14" width="6.1796875" customWidth="1"/>
    <col min="15" max="15" width="11.453125" customWidth="1"/>
    <col min="16" max="16" width="12" customWidth="1"/>
    <col min="17" max="259" width="11.453125" customWidth="1"/>
  </cols>
  <sheetData>
    <row r="1" spans="1:18" ht="13" x14ac:dyDescent="0.3">
      <c r="B1" s="957" t="s">
        <v>259</v>
      </c>
      <c r="C1" s="957"/>
      <c r="D1" s="957"/>
      <c r="E1" s="957"/>
      <c r="F1" s="957"/>
      <c r="G1" s="957"/>
      <c r="H1" s="957"/>
      <c r="I1" s="957"/>
      <c r="J1" s="957"/>
      <c r="K1" s="957"/>
      <c r="L1" s="957"/>
      <c r="M1" s="957"/>
      <c r="N1" s="957"/>
      <c r="O1" s="957"/>
      <c r="P1" s="957"/>
    </row>
    <row r="3" spans="1:18" ht="13" x14ac:dyDescent="0.3">
      <c r="B3" s="50" t="s">
        <v>0</v>
      </c>
      <c r="C3" s="50"/>
      <c r="D3" s="9" t="str">
        <f>'FORM A'!C3</f>
        <v>PROVISION OF PUBLIC PASSENGER TRANSPORT MKUZE AND SURROUNDING</v>
      </c>
      <c r="F3" s="578"/>
    </row>
    <row r="4" spans="1:18" x14ac:dyDescent="0.25">
      <c r="D4" s="6"/>
      <c r="E4" s="6"/>
      <c r="F4" s="41"/>
    </row>
    <row r="5" spans="1:18" ht="13" x14ac:dyDescent="0.3">
      <c r="B5" s="50" t="str">
        <f>'FORM A'!A6</f>
        <v>CONTRACT : ZNT 1129</v>
      </c>
      <c r="C5" s="50"/>
      <c r="E5" s="1"/>
      <c r="F5" s="58"/>
      <c r="G5" s="50" t="s">
        <v>2</v>
      </c>
      <c r="I5" s="8" t="str">
        <f>'FORM A'!F6</f>
        <v>Ripple Effect 40 (Pty) Ltd</v>
      </c>
    </row>
    <row r="6" spans="1:18" ht="13" x14ac:dyDescent="0.3">
      <c r="B6" s="55"/>
      <c r="C6" s="55"/>
      <c r="E6" s="1"/>
      <c r="F6" s="58"/>
      <c r="I6" s="1"/>
      <c r="J6" s="1"/>
      <c r="K6" s="52"/>
    </row>
    <row r="7" spans="1:18" ht="13" x14ac:dyDescent="0.3">
      <c r="B7" s="55" t="s">
        <v>32</v>
      </c>
      <c r="C7" s="55"/>
      <c r="E7" s="103">
        <f>'FORM A'!C8</f>
        <v>320</v>
      </c>
      <c r="F7" s="581"/>
      <c r="G7" s="52" t="s">
        <v>105</v>
      </c>
      <c r="I7" s="972">
        <f>'FORM A'!F8</f>
        <v>45778</v>
      </c>
      <c r="J7" s="972"/>
    </row>
    <row r="8" spans="1:18" x14ac:dyDescent="0.25">
      <c r="B8" s="1"/>
      <c r="C8" s="1"/>
      <c r="D8" s="1"/>
      <c r="E8" s="1"/>
      <c r="F8" s="58"/>
    </row>
    <row r="9" spans="1:18" x14ac:dyDescent="0.25">
      <c r="B9" s="55" t="s">
        <v>235</v>
      </c>
      <c r="C9" s="55"/>
      <c r="D9" s="1"/>
      <c r="E9" s="1"/>
      <c r="F9" s="58"/>
    </row>
    <row r="10" spans="1:18" ht="13" thickBot="1" x14ac:dyDescent="0.3"/>
    <row r="11" spans="1:18" x14ac:dyDescent="0.25">
      <c r="B11" s="960" t="s">
        <v>257</v>
      </c>
      <c r="C11" s="963" t="s">
        <v>262</v>
      </c>
      <c r="D11" s="963" t="s">
        <v>52</v>
      </c>
      <c r="E11" s="965" t="s">
        <v>53</v>
      </c>
      <c r="F11" s="968" t="s">
        <v>258</v>
      </c>
      <c r="G11" s="952" t="s">
        <v>116</v>
      </c>
      <c r="H11" s="953"/>
      <c r="I11" s="953"/>
      <c r="J11" s="953"/>
      <c r="K11" s="953"/>
      <c r="L11" s="953"/>
      <c r="M11" s="953"/>
      <c r="N11" s="954"/>
      <c r="O11" s="958" t="s">
        <v>260</v>
      </c>
      <c r="P11" s="958" t="s">
        <v>261</v>
      </c>
    </row>
    <row r="12" spans="1:18" x14ac:dyDescent="0.25">
      <c r="B12" s="961"/>
      <c r="C12" s="964"/>
      <c r="D12" s="964"/>
      <c r="E12" s="966"/>
      <c r="F12" s="969"/>
      <c r="G12" s="955"/>
      <c r="H12" s="944"/>
      <c r="I12" s="944"/>
      <c r="J12" s="944"/>
      <c r="K12" s="944"/>
      <c r="L12" s="944"/>
      <c r="M12" s="944"/>
      <c r="N12" s="956"/>
      <c r="O12" s="959"/>
      <c r="P12" s="959"/>
    </row>
    <row r="13" spans="1:18" ht="12" customHeight="1" x14ac:dyDescent="0.25">
      <c r="B13" s="961"/>
      <c r="C13" s="964"/>
      <c r="D13" s="964"/>
      <c r="E13" s="966"/>
      <c r="F13" s="969"/>
      <c r="G13" s="971" t="s">
        <v>110</v>
      </c>
      <c r="H13" s="950" t="s">
        <v>111</v>
      </c>
      <c r="I13" s="950" t="s">
        <v>109</v>
      </c>
      <c r="J13" s="950" t="s">
        <v>112</v>
      </c>
      <c r="K13" s="950" t="s">
        <v>113</v>
      </c>
      <c r="L13" s="950" t="s">
        <v>114</v>
      </c>
      <c r="M13" s="950" t="s">
        <v>115</v>
      </c>
      <c r="N13" s="940" t="s">
        <v>281</v>
      </c>
      <c r="O13" s="959"/>
      <c r="P13" s="959"/>
    </row>
    <row r="14" spans="1:18" ht="15" customHeight="1" x14ac:dyDescent="0.25">
      <c r="B14" s="962"/>
      <c r="C14" s="951"/>
      <c r="D14" s="951"/>
      <c r="E14" s="967"/>
      <c r="F14" s="970"/>
      <c r="G14" s="962"/>
      <c r="H14" s="951"/>
      <c r="I14" s="951"/>
      <c r="J14" s="951"/>
      <c r="K14" s="951"/>
      <c r="L14" s="951"/>
      <c r="M14" s="951"/>
      <c r="N14" s="943"/>
      <c r="O14" s="959"/>
      <c r="P14" s="959"/>
    </row>
    <row r="15" spans="1:18" ht="13" thickBot="1" x14ac:dyDescent="0.3">
      <c r="B15" s="545" t="s">
        <v>20</v>
      </c>
      <c r="C15" s="528">
        <v>2</v>
      </c>
      <c r="D15" s="528">
        <v>3</v>
      </c>
      <c r="E15" s="546">
        <v>4</v>
      </c>
      <c r="F15" s="547">
        <v>5</v>
      </c>
      <c r="G15" s="530">
        <v>6</v>
      </c>
      <c r="H15" s="531">
        <v>7</v>
      </c>
      <c r="I15" s="532">
        <v>8</v>
      </c>
      <c r="J15" s="532">
        <v>9</v>
      </c>
      <c r="K15" s="532">
        <v>10</v>
      </c>
      <c r="L15" s="532">
        <v>11</v>
      </c>
      <c r="M15" s="532">
        <v>12</v>
      </c>
      <c r="N15" s="529">
        <f t="shared" ref="N15" si="0">M15+1</f>
        <v>13</v>
      </c>
      <c r="O15" s="533">
        <v>13</v>
      </c>
      <c r="P15" s="533">
        <v>14</v>
      </c>
      <c r="Q15" t="s">
        <v>402</v>
      </c>
      <c r="R15" t="s">
        <v>403</v>
      </c>
    </row>
    <row r="16" spans="1:18" x14ac:dyDescent="0.25">
      <c r="A16" t="str">
        <f>CONCATENATE(B16,C16)</f>
        <v>10F</v>
      </c>
      <c r="B16" s="721" t="s">
        <v>351</v>
      </c>
      <c r="C16" s="557" t="s">
        <v>264</v>
      </c>
      <c r="D16" s="557" t="s">
        <v>352</v>
      </c>
      <c r="E16" s="722" t="s">
        <v>353</v>
      </c>
      <c r="F16" s="755">
        <v>101.5</v>
      </c>
      <c r="G16" s="758">
        <v>1</v>
      </c>
      <c r="H16" s="724">
        <v>1</v>
      </c>
      <c r="I16" s="724">
        <v>1</v>
      </c>
      <c r="J16" s="724">
        <v>1</v>
      </c>
      <c r="K16" s="724">
        <v>1</v>
      </c>
      <c r="L16" s="724">
        <v>1</v>
      </c>
      <c r="M16" s="725">
        <v>0</v>
      </c>
      <c r="N16" s="725">
        <v>0</v>
      </c>
      <c r="O16" s="762">
        <f>(G16*$G$58)+(H16*$H$58)+(I16*$I$58)+(J16*$J$58)+(K16*$K$58)+(L16*$L$58)+(M16*$M$58)+(N16*$N$58)</f>
        <v>26</v>
      </c>
      <c r="P16" s="765">
        <f>F16*O16</f>
        <v>2639</v>
      </c>
      <c r="Q16">
        <f>VLOOKUP(A16,[3]Sheet1!$A$4:$B$43,2,FALSE)</f>
        <v>23</v>
      </c>
      <c r="R16" s="101">
        <f>O16-Q16</f>
        <v>3</v>
      </c>
    </row>
    <row r="17" spans="1:18" x14ac:dyDescent="0.25">
      <c r="A17" t="str">
        <f t="shared" ref="A17:A55" si="1">CONCATENATE(B17,C17)</f>
        <v>10R</v>
      </c>
      <c r="B17" s="733" t="s">
        <v>351</v>
      </c>
      <c r="C17" s="734" t="s">
        <v>263</v>
      </c>
      <c r="D17" s="734" t="s">
        <v>353</v>
      </c>
      <c r="E17" s="735" t="s">
        <v>352</v>
      </c>
      <c r="F17" s="756">
        <v>101.5</v>
      </c>
      <c r="G17" s="759">
        <v>1</v>
      </c>
      <c r="H17" s="537">
        <v>1</v>
      </c>
      <c r="I17" s="537">
        <v>1</v>
      </c>
      <c r="J17" s="537">
        <v>1</v>
      </c>
      <c r="K17" s="537">
        <v>1</v>
      </c>
      <c r="L17" s="537">
        <v>1</v>
      </c>
      <c r="M17" s="726">
        <v>0</v>
      </c>
      <c r="N17" s="726">
        <v>0</v>
      </c>
      <c r="O17" s="763">
        <f>(G17*$G$58)+(H17*$H$58)+(I17*$I$58)+(J17*$J$58)+(K17*$K$58)+(L17*$L$58)+(M17*$M$58)+(N17*$N$58)</f>
        <v>26</v>
      </c>
      <c r="P17" s="766">
        <f>F17*O17</f>
        <v>2639</v>
      </c>
      <c r="Q17">
        <f>VLOOKUP(A17,[3]Sheet1!$A$4:$B$43,2,FALSE)</f>
        <v>23</v>
      </c>
      <c r="R17" s="101">
        <f t="shared" ref="R17:R55" si="2">O17-Q17</f>
        <v>3</v>
      </c>
    </row>
    <row r="18" spans="1:18" x14ac:dyDescent="0.25">
      <c r="A18" t="str">
        <f t="shared" si="1"/>
        <v>1A.3F</v>
      </c>
      <c r="B18" s="733" t="s">
        <v>354</v>
      </c>
      <c r="C18" s="734" t="s">
        <v>264</v>
      </c>
      <c r="D18" s="734" t="s">
        <v>355</v>
      </c>
      <c r="E18" s="735" t="s">
        <v>356</v>
      </c>
      <c r="F18" s="756">
        <v>73.8</v>
      </c>
      <c r="G18" s="759">
        <v>0</v>
      </c>
      <c r="H18" s="537">
        <v>0</v>
      </c>
      <c r="I18" s="537">
        <v>0</v>
      </c>
      <c r="J18" s="537">
        <v>0</v>
      </c>
      <c r="K18" s="537">
        <v>0</v>
      </c>
      <c r="L18" s="537">
        <v>0</v>
      </c>
      <c r="M18" s="726">
        <v>1</v>
      </c>
      <c r="N18" s="726">
        <v>1</v>
      </c>
      <c r="O18" s="763">
        <f t="shared" ref="O18:O52" si="3">(G18*$G$58)+(H18*$H$58)+(I18*$I$58)+(J18*$J$58)+(K18*$K$58)+(L18*$L$58)+(M18*$M$58)+(N18*$N$58)</f>
        <v>5</v>
      </c>
      <c r="P18" s="766">
        <f t="shared" ref="P18:P52" si="4">F18*O18</f>
        <v>369</v>
      </c>
      <c r="Q18">
        <f>VLOOKUP(A18,[3]Sheet1!$A$4:$B$43,2,FALSE)</f>
        <v>4</v>
      </c>
      <c r="R18" s="101">
        <f t="shared" si="2"/>
        <v>1</v>
      </c>
    </row>
    <row r="19" spans="1:18" x14ac:dyDescent="0.25">
      <c r="A19" t="str">
        <f t="shared" si="1"/>
        <v>1A.3R</v>
      </c>
      <c r="B19" s="733" t="s">
        <v>354</v>
      </c>
      <c r="C19" s="734" t="s">
        <v>263</v>
      </c>
      <c r="D19" s="734" t="s">
        <v>356</v>
      </c>
      <c r="E19" s="735" t="s">
        <v>355</v>
      </c>
      <c r="F19" s="756">
        <v>73.8</v>
      </c>
      <c r="G19" s="759">
        <v>0</v>
      </c>
      <c r="H19" s="537">
        <v>0</v>
      </c>
      <c r="I19" s="537">
        <v>0</v>
      </c>
      <c r="J19" s="537">
        <v>0</v>
      </c>
      <c r="K19" s="537">
        <v>0</v>
      </c>
      <c r="L19" s="537">
        <v>0</v>
      </c>
      <c r="M19" s="726">
        <v>1</v>
      </c>
      <c r="N19" s="726">
        <v>1</v>
      </c>
      <c r="O19" s="763">
        <f t="shared" si="3"/>
        <v>5</v>
      </c>
      <c r="P19" s="766">
        <f t="shared" si="4"/>
        <v>369</v>
      </c>
      <c r="Q19">
        <f>VLOOKUP(A19,[3]Sheet1!$A$4:$B$43,2,FALSE)</f>
        <v>4</v>
      </c>
      <c r="R19" s="101">
        <f t="shared" si="2"/>
        <v>1</v>
      </c>
    </row>
    <row r="20" spans="1:18" x14ac:dyDescent="0.25">
      <c r="A20" t="str">
        <f t="shared" si="1"/>
        <v>1A1F</v>
      </c>
      <c r="B20" s="733" t="s">
        <v>357</v>
      </c>
      <c r="C20" s="734" t="s">
        <v>264</v>
      </c>
      <c r="D20" s="734" t="s">
        <v>355</v>
      </c>
      <c r="E20" s="735" t="s">
        <v>356</v>
      </c>
      <c r="F20" s="756">
        <v>81.8</v>
      </c>
      <c r="G20" s="759">
        <v>1</v>
      </c>
      <c r="H20" s="537">
        <v>1</v>
      </c>
      <c r="I20" s="537">
        <v>1</v>
      </c>
      <c r="J20" s="537">
        <v>1</v>
      </c>
      <c r="K20" s="537">
        <v>1</v>
      </c>
      <c r="L20" s="537">
        <v>1</v>
      </c>
      <c r="M20" s="726">
        <v>0</v>
      </c>
      <c r="N20" s="726">
        <v>0</v>
      </c>
      <c r="O20" s="763">
        <f t="shared" si="3"/>
        <v>26</v>
      </c>
      <c r="P20" s="766">
        <f t="shared" si="4"/>
        <v>2126.7999999999997</v>
      </c>
      <c r="Q20">
        <f>VLOOKUP(A20,[3]Sheet1!$A$4:$B$43,2,FALSE)</f>
        <v>21</v>
      </c>
      <c r="R20" s="101">
        <f t="shared" si="2"/>
        <v>5</v>
      </c>
    </row>
    <row r="21" spans="1:18" x14ac:dyDescent="0.25">
      <c r="A21" t="str">
        <f t="shared" si="1"/>
        <v>1A1R</v>
      </c>
      <c r="B21" s="733" t="s">
        <v>357</v>
      </c>
      <c r="C21" s="734" t="s">
        <v>263</v>
      </c>
      <c r="D21" s="734" t="s">
        <v>356</v>
      </c>
      <c r="E21" s="735" t="s">
        <v>355</v>
      </c>
      <c r="F21" s="756">
        <v>90</v>
      </c>
      <c r="G21" s="759">
        <v>1</v>
      </c>
      <c r="H21" s="537">
        <v>1</v>
      </c>
      <c r="I21" s="537">
        <v>1</v>
      </c>
      <c r="J21" s="537">
        <v>1</v>
      </c>
      <c r="K21" s="537">
        <v>1</v>
      </c>
      <c r="L21" s="537">
        <v>1</v>
      </c>
      <c r="M21" s="726">
        <v>0</v>
      </c>
      <c r="N21" s="726">
        <v>0</v>
      </c>
      <c r="O21" s="763">
        <f t="shared" si="3"/>
        <v>26</v>
      </c>
      <c r="P21" s="766">
        <f t="shared" si="4"/>
        <v>2340</v>
      </c>
      <c r="Q21">
        <f>VLOOKUP(A21,[3]Sheet1!$A$4:$B$43,2,FALSE)</f>
        <v>17</v>
      </c>
      <c r="R21" s="101">
        <f t="shared" si="2"/>
        <v>9</v>
      </c>
    </row>
    <row r="22" spans="1:18" x14ac:dyDescent="0.25">
      <c r="A22" t="str">
        <f t="shared" si="1"/>
        <v>1A4F</v>
      </c>
      <c r="B22" s="733" t="s">
        <v>358</v>
      </c>
      <c r="C22" s="734" t="s">
        <v>264</v>
      </c>
      <c r="D22" s="734" t="s">
        <v>359</v>
      </c>
      <c r="E22" s="735" t="s">
        <v>356</v>
      </c>
      <c r="F22" s="756">
        <v>35.799999999999997</v>
      </c>
      <c r="G22" s="759">
        <v>1</v>
      </c>
      <c r="H22" s="537">
        <v>1</v>
      </c>
      <c r="I22" s="537">
        <v>1</v>
      </c>
      <c r="J22" s="537">
        <v>1</v>
      </c>
      <c r="K22" s="537">
        <v>1</v>
      </c>
      <c r="L22" s="537">
        <v>1</v>
      </c>
      <c r="M22" s="726">
        <v>0</v>
      </c>
      <c r="N22" s="726">
        <v>0</v>
      </c>
      <c r="O22" s="763">
        <f t="shared" si="3"/>
        <v>26</v>
      </c>
      <c r="P22" s="766">
        <f t="shared" si="4"/>
        <v>930.8</v>
      </c>
      <c r="Q22">
        <f>VLOOKUP(A22,[3]Sheet1!$A$4:$B$43,2,FALSE)</f>
        <v>22</v>
      </c>
      <c r="R22" s="101">
        <f t="shared" si="2"/>
        <v>4</v>
      </c>
    </row>
    <row r="23" spans="1:18" x14ac:dyDescent="0.25">
      <c r="A23" t="str">
        <f t="shared" si="1"/>
        <v>1A4R</v>
      </c>
      <c r="B23" s="733" t="s">
        <v>358</v>
      </c>
      <c r="C23" s="734" t="s">
        <v>263</v>
      </c>
      <c r="D23" s="734" t="s">
        <v>356</v>
      </c>
      <c r="E23" s="735" t="s">
        <v>359</v>
      </c>
      <c r="F23" s="756">
        <v>35.799999999999997</v>
      </c>
      <c r="G23" s="759">
        <v>1</v>
      </c>
      <c r="H23" s="537">
        <v>1</v>
      </c>
      <c r="I23" s="537">
        <v>1</v>
      </c>
      <c r="J23" s="537">
        <v>1</v>
      </c>
      <c r="K23" s="537">
        <v>1</v>
      </c>
      <c r="L23" s="537">
        <v>1</v>
      </c>
      <c r="M23" s="726">
        <v>0</v>
      </c>
      <c r="N23" s="726">
        <v>0</v>
      </c>
      <c r="O23" s="763">
        <f t="shared" si="3"/>
        <v>26</v>
      </c>
      <c r="P23" s="766">
        <f t="shared" si="4"/>
        <v>930.8</v>
      </c>
      <c r="Q23">
        <f>VLOOKUP(A23,[3]Sheet1!$A$4:$B$43,2,FALSE)</f>
        <v>23</v>
      </c>
      <c r="R23" s="101">
        <f t="shared" si="2"/>
        <v>3</v>
      </c>
    </row>
    <row r="24" spans="1:18" x14ac:dyDescent="0.25">
      <c r="A24" t="str">
        <f t="shared" si="1"/>
        <v>1B.1F</v>
      </c>
      <c r="B24" s="733" t="s">
        <v>360</v>
      </c>
      <c r="C24" s="734" t="s">
        <v>264</v>
      </c>
      <c r="D24" s="734" t="s">
        <v>355</v>
      </c>
      <c r="E24" s="735" t="s">
        <v>356</v>
      </c>
      <c r="F24" s="756">
        <v>90</v>
      </c>
      <c r="G24" s="759">
        <v>1</v>
      </c>
      <c r="H24" s="537">
        <v>1</v>
      </c>
      <c r="I24" s="537">
        <v>1</v>
      </c>
      <c r="J24" s="537">
        <v>1</v>
      </c>
      <c r="K24" s="537">
        <v>1</v>
      </c>
      <c r="L24" s="537">
        <v>1</v>
      </c>
      <c r="M24" s="726">
        <v>1</v>
      </c>
      <c r="N24" s="726">
        <v>1</v>
      </c>
      <c r="O24" s="763">
        <f t="shared" si="3"/>
        <v>31</v>
      </c>
      <c r="P24" s="766">
        <f t="shared" si="4"/>
        <v>2790</v>
      </c>
      <c r="Q24">
        <f>VLOOKUP(A24,[3]Sheet1!$A$4:$B$43,2,FALSE)</f>
        <v>21</v>
      </c>
      <c r="R24" s="101">
        <f t="shared" si="2"/>
        <v>10</v>
      </c>
    </row>
    <row r="25" spans="1:18" x14ac:dyDescent="0.25">
      <c r="A25" t="str">
        <f t="shared" si="1"/>
        <v>1B.1R</v>
      </c>
      <c r="B25" s="733" t="s">
        <v>360</v>
      </c>
      <c r="C25" s="734" t="s">
        <v>263</v>
      </c>
      <c r="D25" s="734" t="s">
        <v>356</v>
      </c>
      <c r="E25" s="735" t="s">
        <v>355</v>
      </c>
      <c r="F25" s="756">
        <v>90</v>
      </c>
      <c r="G25" s="759">
        <v>1</v>
      </c>
      <c r="H25" s="537">
        <v>1</v>
      </c>
      <c r="I25" s="537">
        <v>1</v>
      </c>
      <c r="J25" s="537">
        <v>1</v>
      </c>
      <c r="K25" s="537">
        <v>1</v>
      </c>
      <c r="L25" s="537">
        <v>1</v>
      </c>
      <c r="M25" s="726">
        <v>1</v>
      </c>
      <c r="N25" s="726">
        <v>1</v>
      </c>
      <c r="O25" s="763">
        <f t="shared" si="3"/>
        <v>31</v>
      </c>
      <c r="P25" s="766">
        <f t="shared" si="4"/>
        <v>2790</v>
      </c>
      <c r="Q25">
        <f>VLOOKUP(A25,[3]Sheet1!$A$4:$B$43,2,FALSE)</f>
        <v>27</v>
      </c>
      <c r="R25" s="101">
        <f t="shared" si="2"/>
        <v>4</v>
      </c>
    </row>
    <row r="26" spans="1:18" x14ac:dyDescent="0.25">
      <c r="A26" t="str">
        <f t="shared" si="1"/>
        <v>1B2F</v>
      </c>
      <c r="B26" s="733" t="s">
        <v>361</v>
      </c>
      <c r="C26" s="734" t="s">
        <v>264</v>
      </c>
      <c r="D26" s="734" t="s">
        <v>355</v>
      </c>
      <c r="E26" s="735" t="s">
        <v>356</v>
      </c>
      <c r="F26" s="756">
        <v>85.3</v>
      </c>
      <c r="G26" s="759">
        <v>1</v>
      </c>
      <c r="H26" s="537">
        <v>1</v>
      </c>
      <c r="I26" s="537">
        <v>1</v>
      </c>
      <c r="J26" s="537">
        <v>1</v>
      </c>
      <c r="K26" s="537">
        <v>1</v>
      </c>
      <c r="L26" s="537">
        <v>1</v>
      </c>
      <c r="M26" s="726">
        <v>0</v>
      </c>
      <c r="N26" s="726">
        <v>0</v>
      </c>
      <c r="O26" s="763">
        <f t="shared" si="3"/>
        <v>26</v>
      </c>
      <c r="P26" s="766">
        <f t="shared" si="4"/>
        <v>2217.7999999999997</v>
      </c>
      <c r="Q26">
        <f>VLOOKUP(A26,[3]Sheet1!$A$4:$B$43,2,FALSE)</f>
        <v>23</v>
      </c>
      <c r="R26" s="101">
        <f t="shared" si="2"/>
        <v>3</v>
      </c>
    </row>
    <row r="27" spans="1:18" x14ac:dyDescent="0.25">
      <c r="A27" t="str">
        <f t="shared" si="1"/>
        <v>1B2R</v>
      </c>
      <c r="B27" s="733" t="s">
        <v>361</v>
      </c>
      <c r="C27" s="734" t="s">
        <v>263</v>
      </c>
      <c r="D27" s="734" t="s">
        <v>356</v>
      </c>
      <c r="E27" s="735" t="s">
        <v>355</v>
      </c>
      <c r="F27" s="756">
        <v>85.3</v>
      </c>
      <c r="G27" s="759">
        <v>1</v>
      </c>
      <c r="H27" s="537">
        <v>1</v>
      </c>
      <c r="I27" s="537">
        <v>1</v>
      </c>
      <c r="J27" s="537">
        <v>1</v>
      </c>
      <c r="K27" s="537">
        <v>1</v>
      </c>
      <c r="L27" s="537">
        <v>1</v>
      </c>
      <c r="M27" s="726">
        <v>0</v>
      </c>
      <c r="N27" s="726">
        <v>0</v>
      </c>
      <c r="O27" s="763">
        <f t="shared" si="3"/>
        <v>26</v>
      </c>
      <c r="P27" s="766">
        <f t="shared" si="4"/>
        <v>2217.7999999999997</v>
      </c>
      <c r="Q27">
        <f>VLOOKUP(A27,[3]Sheet1!$A$4:$B$43,2,FALSE)</f>
        <v>22</v>
      </c>
      <c r="R27" s="101">
        <f t="shared" si="2"/>
        <v>4</v>
      </c>
    </row>
    <row r="28" spans="1:18" x14ac:dyDescent="0.25">
      <c r="A28" t="str">
        <f t="shared" si="1"/>
        <v>1C1F</v>
      </c>
      <c r="B28" s="733" t="s">
        <v>362</v>
      </c>
      <c r="C28" s="734" t="s">
        <v>264</v>
      </c>
      <c r="D28" s="734" t="s">
        <v>355</v>
      </c>
      <c r="E28" s="735" t="s">
        <v>363</v>
      </c>
      <c r="F28" s="756">
        <v>55.5</v>
      </c>
      <c r="G28" s="759">
        <v>1</v>
      </c>
      <c r="H28" s="537">
        <v>1</v>
      </c>
      <c r="I28" s="537">
        <v>1</v>
      </c>
      <c r="J28" s="537">
        <v>1</v>
      </c>
      <c r="K28" s="537">
        <v>1</v>
      </c>
      <c r="L28" s="537">
        <v>1</v>
      </c>
      <c r="M28" s="726">
        <v>0</v>
      </c>
      <c r="N28" s="726">
        <v>0</v>
      </c>
      <c r="O28" s="763">
        <f t="shared" si="3"/>
        <v>26</v>
      </c>
      <c r="P28" s="766">
        <f t="shared" si="4"/>
        <v>1443</v>
      </c>
      <c r="Q28">
        <f>VLOOKUP(A28,[3]Sheet1!$A$4:$B$43,2,FALSE)</f>
        <v>24</v>
      </c>
      <c r="R28" s="101">
        <f t="shared" si="2"/>
        <v>2</v>
      </c>
    </row>
    <row r="29" spans="1:18" x14ac:dyDescent="0.25">
      <c r="A29" t="str">
        <f t="shared" si="1"/>
        <v>1C1R</v>
      </c>
      <c r="B29" s="733" t="s">
        <v>362</v>
      </c>
      <c r="C29" s="734" t="s">
        <v>263</v>
      </c>
      <c r="D29" s="734" t="s">
        <v>363</v>
      </c>
      <c r="E29" s="735" t="s">
        <v>355</v>
      </c>
      <c r="F29" s="756">
        <v>55.5</v>
      </c>
      <c r="G29" s="759">
        <v>1</v>
      </c>
      <c r="H29" s="537">
        <v>1</v>
      </c>
      <c r="I29" s="537">
        <v>1</v>
      </c>
      <c r="J29" s="537">
        <v>1</v>
      </c>
      <c r="K29" s="537">
        <v>1</v>
      </c>
      <c r="L29" s="537">
        <v>1</v>
      </c>
      <c r="M29" s="726">
        <v>0</v>
      </c>
      <c r="N29" s="726">
        <v>0</v>
      </c>
      <c r="O29" s="763">
        <f t="shared" si="3"/>
        <v>26</v>
      </c>
      <c r="P29" s="766">
        <f t="shared" si="4"/>
        <v>1443</v>
      </c>
      <c r="Q29">
        <f>VLOOKUP(A29,[3]Sheet1!$A$4:$B$43,2,FALSE)</f>
        <v>24</v>
      </c>
      <c r="R29" s="101">
        <f t="shared" si="2"/>
        <v>2</v>
      </c>
    </row>
    <row r="30" spans="1:18" x14ac:dyDescent="0.25">
      <c r="A30" t="str">
        <f t="shared" si="1"/>
        <v>1C2F</v>
      </c>
      <c r="B30" s="733" t="s">
        <v>364</v>
      </c>
      <c r="C30" s="734" t="s">
        <v>264</v>
      </c>
      <c r="D30" s="734" t="s">
        <v>355</v>
      </c>
      <c r="E30" s="735" t="s">
        <v>363</v>
      </c>
      <c r="F30" s="756">
        <v>50.8</v>
      </c>
      <c r="G30" s="759">
        <v>1</v>
      </c>
      <c r="H30" s="537">
        <v>1</v>
      </c>
      <c r="I30" s="537">
        <v>1</v>
      </c>
      <c r="J30" s="537">
        <v>1</v>
      </c>
      <c r="K30" s="537">
        <v>1</v>
      </c>
      <c r="L30" s="537">
        <v>1</v>
      </c>
      <c r="M30" s="726">
        <v>0</v>
      </c>
      <c r="N30" s="726">
        <v>0</v>
      </c>
      <c r="O30" s="763">
        <f t="shared" si="3"/>
        <v>26</v>
      </c>
      <c r="P30" s="766">
        <f t="shared" si="4"/>
        <v>1320.8</v>
      </c>
      <c r="Q30">
        <f>VLOOKUP(A30,[3]Sheet1!$A$4:$B$43,2,FALSE)</f>
        <v>24</v>
      </c>
      <c r="R30" s="101">
        <f t="shared" si="2"/>
        <v>2</v>
      </c>
    </row>
    <row r="31" spans="1:18" x14ac:dyDescent="0.25">
      <c r="A31" t="str">
        <f t="shared" si="1"/>
        <v>1C2R</v>
      </c>
      <c r="B31" s="733" t="s">
        <v>364</v>
      </c>
      <c r="C31" s="734" t="s">
        <v>263</v>
      </c>
      <c r="D31" s="734" t="s">
        <v>363</v>
      </c>
      <c r="E31" s="735" t="s">
        <v>355</v>
      </c>
      <c r="F31" s="756">
        <v>50.8</v>
      </c>
      <c r="G31" s="759">
        <v>1</v>
      </c>
      <c r="H31" s="537">
        <v>1</v>
      </c>
      <c r="I31" s="537">
        <v>1</v>
      </c>
      <c r="J31" s="537">
        <v>1</v>
      </c>
      <c r="K31" s="537">
        <v>1</v>
      </c>
      <c r="L31" s="537">
        <v>1</v>
      </c>
      <c r="M31" s="726">
        <v>0</v>
      </c>
      <c r="N31" s="726">
        <v>0</v>
      </c>
      <c r="O31" s="763">
        <f t="shared" si="3"/>
        <v>26</v>
      </c>
      <c r="P31" s="766">
        <f t="shared" si="4"/>
        <v>1320.8</v>
      </c>
      <c r="Q31">
        <f>VLOOKUP(A31,[3]Sheet1!$A$4:$B$43,2,FALSE)</f>
        <v>24</v>
      </c>
      <c r="R31" s="101">
        <f t="shared" si="2"/>
        <v>2</v>
      </c>
    </row>
    <row r="32" spans="1:18" x14ac:dyDescent="0.25">
      <c r="A32" t="str">
        <f t="shared" si="1"/>
        <v>1DF</v>
      </c>
      <c r="B32" s="733" t="s">
        <v>365</v>
      </c>
      <c r="C32" s="734" t="s">
        <v>264</v>
      </c>
      <c r="D32" s="734" t="s">
        <v>355</v>
      </c>
      <c r="E32" s="735" t="s">
        <v>366</v>
      </c>
      <c r="F32" s="756">
        <v>30.5</v>
      </c>
      <c r="G32" s="759">
        <v>1</v>
      </c>
      <c r="H32" s="537">
        <v>1</v>
      </c>
      <c r="I32" s="537">
        <v>1</v>
      </c>
      <c r="J32" s="537">
        <v>1</v>
      </c>
      <c r="K32" s="537">
        <v>1</v>
      </c>
      <c r="L32" s="537">
        <v>0</v>
      </c>
      <c r="M32" s="726">
        <v>0</v>
      </c>
      <c r="N32" s="726">
        <v>0</v>
      </c>
      <c r="O32" s="763">
        <f t="shared" si="3"/>
        <v>21</v>
      </c>
      <c r="P32" s="766">
        <f t="shared" si="4"/>
        <v>640.5</v>
      </c>
      <c r="Q32">
        <f>VLOOKUP(A32,[3]Sheet1!$A$4:$B$43,2,FALSE)</f>
        <v>20</v>
      </c>
      <c r="R32" s="101">
        <f t="shared" si="2"/>
        <v>1</v>
      </c>
    </row>
    <row r="33" spans="1:18" x14ac:dyDescent="0.25">
      <c r="A33" t="str">
        <f t="shared" si="1"/>
        <v>1DR</v>
      </c>
      <c r="B33" s="733" t="s">
        <v>365</v>
      </c>
      <c r="C33" s="734" t="s">
        <v>263</v>
      </c>
      <c r="D33" s="734" t="s">
        <v>366</v>
      </c>
      <c r="E33" s="735" t="s">
        <v>355</v>
      </c>
      <c r="F33" s="756">
        <v>30.5</v>
      </c>
      <c r="G33" s="759">
        <v>1</v>
      </c>
      <c r="H33" s="537">
        <v>1</v>
      </c>
      <c r="I33" s="537">
        <v>1</v>
      </c>
      <c r="J33" s="537">
        <v>1</v>
      </c>
      <c r="K33" s="537">
        <v>1</v>
      </c>
      <c r="L33" s="537">
        <v>0</v>
      </c>
      <c r="M33" s="726">
        <v>0</v>
      </c>
      <c r="N33" s="726">
        <v>0</v>
      </c>
      <c r="O33" s="763">
        <f t="shared" si="3"/>
        <v>21</v>
      </c>
      <c r="P33" s="766">
        <f t="shared" si="4"/>
        <v>640.5</v>
      </c>
      <c r="Q33">
        <f>VLOOKUP(A33,[3]Sheet1!$A$4:$B$43,2,FALSE)</f>
        <v>20</v>
      </c>
      <c r="R33" s="101">
        <f t="shared" si="2"/>
        <v>1</v>
      </c>
    </row>
    <row r="34" spans="1:18" x14ac:dyDescent="0.25">
      <c r="A34" t="str">
        <f t="shared" si="1"/>
        <v>2F</v>
      </c>
      <c r="B34" s="733" t="s">
        <v>367</v>
      </c>
      <c r="C34" s="734" t="s">
        <v>264</v>
      </c>
      <c r="D34" s="734" t="s">
        <v>368</v>
      </c>
      <c r="E34" s="735" t="s">
        <v>355</v>
      </c>
      <c r="F34" s="756">
        <v>50.2</v>
      </c>
      <c r="G34" s="759">
        <v>1</v>
      </c>
      <c r="H34" s="537">
        <v>1</v>
      </c>
      <c r="I34" s="537">
        <v>1</v>
      </c>
      <c r="J34" s="537">
        <v>1</v>
      </c>
      <c r="K34" s="537">
        <v>1</v>
      </c>
      <c r="L34" s="537">
        <v>1</v>
      </c>
      <c r="M34" s="726">
        <v>0</v>
      </c>
      <c r="N34" s="726">
        <v>0</v>
      </c>
      <c r="O34" s="763">
        <f t="shared" si="3"/>
        <v>26</v>
      </c>
      <c r="P34" s="766">
        <f t="shared" si="4"/>
        <v>1305.2</v>
      </c>
      <c r="Q34">
        <f>VLOOKUP(A34,[3]Sheet1!$A$4:$B$43,2,FALSE)</f>
        <v>24</v>
      </c>
      <c r="R34" s="101">
        <f t="shared" si="2"/>
        <v>2</v>
      </c>
    </row>
    <row r="35" spans="1:18" x14ac:dyDescent="0.25">
      <c r="A35" t="str">
        <f t="shared" si="1"/>
        <v>2R</v>
      </c>
      <c r="B35" s="733" t="s">
        <v>367</v>
      </c>
      <c r="C35" s="734" t="s">
        <v>263</v>
      </c>
      <c r="D35" s="734" t="s">
        <v>355</v>
      </c>
      <c r="E35" s="735" t="s">
        <v>368</v>
      </c>
      <c r="F35" s="756">
        <v>50.2</v>
      </c>
      <c r="G35" s="759">
        <v>1</v>
      </c>
      <c r="H35" s="537">
        <v>1</v>
      </c>
      <c r="I35" s="537">
        <v>1</v>
      </c>
      <c r="J35" s="537">
        <v>1</v>
      </c>
      <c r="K35" s="537">
        <v>1</v>
      </c>
      <c r="L35" s="537">
        <v>1</v>
      </c>
      <c r="M35" s="726">
        <v>0</v>
      </c>
      <c r="N35" s="726">
        <v>0</v>
      </c>
      <c r="O35" s="763">
        <f t="shared" si="3"/>
        <v>26</v>
      </c>
      <c r="P35" s="766">
        <f t="shared" si="4"/>
        <v>1305.2</v>
      </c>
      <c r="Q35">
        <f>VLOOKUP(A35,[3]Sheet1!$A$4:$B$43,2,FALSE)</f>
        <v>24</v>
      </c>
      <c r="R35" s="101">
        <f t="shared" si="2"/>
        <v>2</v>
      </c>
    </row>
    <row r="36" spans="1:18" x14ac:dyDescent="0.25">
      <c r="A36" t="str">
        <f t="shared" si="1"/>
        <v>3F</v>
      </c>
      <c r="B36" s="733" t="s">
        <v>369</v>
      </c>
      <c r="C36" s="734" t="s">
        <v>264</v>
      </c>
      <c r="D36" s="734" t="s">
        <v>370</v>
      </c>
      <c r="E36" s="735" t="s">
        <v>355</v>
      </c>
      <c r="F36" s="756">
        <v>80.2</v>
      </c>
      <c r="G36" s="759">
        <v>1</v>
      </c>
      <c r="H36" s="537">
        <v>1</v>
      </c>
      <c r="I36" s="537">
        <v>1</v>
      </c>
      <c r="J36" s="537">
        <v>1</v>
      </c>
      <c r="K36" s="537">
        <v>1</v>
      </c>
      <c r="L36" s="537">
        <v>1</v>
      </c>
      <c r="M36" s="726">
        <v>0</v>
      </c>
      <c r="N36" s="726">
        <v>0</v>
      </c>
      <c r="O36" s="763">
        <f t="shared" si="3"/>
        <v>26</v>
      </c>
      <c r="P36" s="766">
        <f t="shared" si="4"/>
        <v>2085.2000000000003</v>
      </c>
      <c r="Q36">
        <f>VLOOKUP(A36,[3]Sheet1!$A$4:$B$43,2,FALSE)</f>
        <v>22</v>
      </c>
      <c r="R36" s="101">
        <f t="shared" si="2"/>
        <v>4</v>
      </c>
    </row>
    <row r="37" spans="1:18" x14ac:dyDescent="0.25">
      <c r="A37" t="str">
        <f t="shared" si="1"/>
        <v>3R</v>
      </c>
      <c r="B37" s="733" t="s">
        <v>369</v>
      </c>
      <c r="C37" s="734" t="s">
        <v>263</v>
      </c>
      <c r="D37" s="734" t="s">
        <v>355</v>
      </c>
      <c r="E37" s="735" t="s">
        <v>370</v>
      </c>
      <c r="F37" s="756">
        <v>80.2</v>
      </c>
      <c r="G37" s="759">
        <v>1</v>
      </c>
      <c r="H37" s="537">
        <v>1</v>
      </c>
      <c r="I37" s="537">
        <v>1</v>
      </c>
      <c r="J37" s="537">
        <v>1</v>
      </c>
      <c r="K37" s="537">
        <v>1</v>
      </c>
      <c r="L37" s="537">
        <v>1</v>
      </c>
      <c r="M37" s="726">
        <v>0</v>
      </c>
      <c r="N37" s="726">
        <v>0</v>
      </c>
      <c r="O37" s="763">
        <f t="shared" si="3"/>
        <v>26</v>
      </c>
      <c r="P37" s="766">
        <f t="shared" si="4"/>
        <v>2085.2000000000003</v>
      </c>
      <c r="Q37">
        <f>VLOOKUP(A37,[3]Sheet1!$A$4:$B$43,2,FALSE)</f>
        <v>23</v>
      </c>
      <c r="R37" s="101">
        <f t="shared" si="2"/>
        <v>3</v>
      </c>
    </row>
    <row r="38" spans="1:18" x14ac:dyDescent="0.25">
      <c r="A38" t="str">
        <f t="shared" si="1"/>
        <v>5F</v>
      </c>
      <c r="B38" s="733" t="s">
        <v>371</v>
      </c>
      <c r="C38" s="734" t="s">
        <v>264</v>
      </c>
      <c r="D38" s="734" t="s">
        <v>372</v>
      </c>
      <c r="E38" s="735" t="s">
        <v>356</v>
      </c>
      <c r="F38" s="756">
        <v>117</v>
      </c>
      <c r="G38" s="759">
        <v>1</v>
      </c>
      <c r="H38" s="537">
        <v>1</v>
      </c>
      <c r="I38" s="537">
        <v>1</v>
      </c>
      <c r="J38" s="537">
        <v>1</v>
      </c>
      <c r="K38" s="537">
        <v>1</v>
      </c>
      <c r="L38" s="537">
        <v>1</v>
      </c>
      <c r="M38" s="726">
        <v>0</v>
      </c>
      <c r="N38" s="726">
        <v>0</v>
      </c>
      <c r="O38" s="763">
        <f t="shared" si="3"/>
        <v>26</v>
      </c>
      <c r="P38" s="766">
        <f t="shared" si="4"/>
        <v>3042</v>
      </c>
      <c r="Q38">
        <f>VLOOKUP(A38,[3]Sheet1!$A$4:$B$43,2,FALSE)</f>
        <v>22</v>
      </c>
      <c r="R38" s="101">
        <f t="shared" si="2"/>
        <v>4</v>
      </c>
    </row>
    <row r="39" spans="1:18" x14ac:dyDescent="0.25">
      <c r="A39" t="str">
        <f t="shared" si="1"/>
        <v>5R</v>
      </c>
      <c r="B39" s="733" t="s">
        <v>371</v>
      </c>
      <c r="C39" s="734" t="s">
        <v>263</v>
      </c>
      <c r="D39" s="734" t="s">
        <v>356</v>
      </c>
      <c r="E39" s="735" t="s">
        <v>372</v>
      </c>
      <c r="F39" s="756">
        <v>117</v>
      </c>
      <c r="G39" s="759">
        <v>1</v>
      </c>
      <c r="H39" s="537">
        <v>1</v>
      </c>
      <c r="I39" s="537">
        <v>1</v>
      </c>
      <c r="J39" s="537">
        <v>1</v>
      </c>
      <c r="K39" s="537">
        <v>1</v>
      </c>
      <c r="L39" s="537">
        <v>1</v>
      </c>
      <c r="M39" s="726">
        <v>0</v>
      </c>
      <c r="N39" s="726">
        <v>0</v>
      </c>
      <c r="O39" s="763">
        <f t="shared" si="3"/>
        <v>26</v>
      </c>
      <c r="P39" s="766">
        <f t="shared" si="4"/>
        <v>3042</v>
      </c>
      <c r="Q39">
        <f>VLOOKUP(A39,[3]Sheet1!$A$4:$B$43,2,FALSE)</f>
        <v>23</v>
      </c>
      <c r="R39" s="101">
        <f t="shared" si="2"/>
        <v>3</v>
      </c>
    </row>
    <row r="40" spans="1:18" x14ac:dyDescent="0.25">
      <c r="A40" t="str">
        <f t="shared" si="1"/>
        <v>6AF</v>
      </c>
      <c r="B40" s="733" t="s">
        <v>373</v>
      </c>
      <c r="C40" s="734" t="s">
        <v>264</v>
      </c>
      <c r="D40" s="734" t="s">
        <v>374</v>
      </c>
      <c r="E40" s="735" t="s">
        <v>356</v>
      </c>
      <c r="F40" s="756">
        <v>149.9</v>
      </c>
      <c r="G40" s="759">
        <v>1</v>
      </c>
      <c r="H40" s="537">
        <v>1</v>
      </c>
      <c r="I40" s="537">
        <v>1</v>
      </c>
      <c r="J40" s="537">
        <v>1</v>
      </c>
      <c r="K40" s="537">
        <v>1</v>
      </c>
      <c r="L40" s="537">
        <v>1</v>
      </c>
      <c r="M40" s="726">
        <v>2</v>
      </c>
      <c r="N40" s="726">
        <v>2</v>
      </c>
      <c r="O40" s="763">
        <f t="shared" si="3"/>
        <v>36</v>
      </c>
      <c r="P40" s="766">
        <f t="shared" si="4"/>
        <v>5396.4000000000005</v>
      </c>
      <c r="Q40">
        <f>VLOOKUP(A40,[3]Sheet1!$A$4:$B$43,2,FALSE)</f>
        <v>26</v>
      </c>
      <c r="R40" s="101">
        <f t="shared" si="2"/>
        <v>10</v>
      </c>
    </row>
    <row r="41" spans="1:18" x14ac:dyDescent="0.25">
      <c r="A41" t="str">
        <f t="shared" si="1"/>
        <v>6AR</v>
      </c>
      <c r="B41" s="733" t="s">
        <v>373</v>
      </c>
      <c r="C41" s="734" t="s">
        <v>263</v>
      </c>
      <c r="D41" s="734" t="s">
        <v>356</v>
      </c>
      <c r="E41" s="735" t="s">
        <v>374</v>
      </c>
      <c r="F41" s="756">
        <v>149.9</v>
      </c>
      <c r="G41" s="759">
        <v>1</v>
      </c>
      <c r="H41" s="537">
        <v>1</v>
      </c>
      <c r="I41" s="537">
        <v>1</v>
      </c>
      <c r="J41" s="537">
        <v>1</v>
      </c>
      <c r="K41" s="537">
        <v>1</v>
      </c>
      <c r="L41" s="537">
        <v>1</v>
      </c>
      <c r="M41" s="726">
        <v>0</v>
      </c>
      <c r="N41" s="726">
        <v>0</v>
      </c>
      <c r="O41" s="763">
        <f t="shared" si="3"/>
        <v>26</v>
      </c>
      <c r="P41" s="766">
        <f t="shared" si="4"/>
        <v>3897.4</v>
      </c>
      <c r="Q41">
        <f>VLOOKUP(A41,[3]Sheet1!$A$4:$B$43,2,FALSE)</f>
        <v>23</v>
      </c>
      <c r="R41" s="101">
        <f t="shared" si="2"/>
        <v>3</v>
      </c>
    </row>
    <row r="42" spans="1:18" x14ac:dyDescent="0.25">
      <c r="A42" t="str">
        <f t="shared" si="1"/>
        <v>6BF</v>
      </c>
      <c r="B42" s="733" t="s">
        <v>375</v>
      </c>
      <c r="C42" s="734" t="s">
        <v>264</v>
      </c>
      <c r="D42" s="734" t="s">
        <v>376</v>
      </c>
      <c r="E42" s="735" t="s">
        <v>356</v>
      </c>
      <c r="F42" s="756">
        <v>97.5</v>
      </c>
      <c r="G42" s="759">
        <v>1</v>
      </c>
      <c r="H42" s="537">
        <v>1</v>
      </c>
      <c r="I42" s="537">
        <v>1</v>
      </c>
      <c r="J42" s="537">
        <v>1</v>
      </c>
      <c r="K42" s="537">
        <v>1</v>
      </c>
      <c r="L42" s="537">
        <v>0</v>
      </c>
      <c r="M42" s="726">
        <v>0</v>
      </c>
      <c r="N42" s="726">
        <v>0</v>
      </c>
      <c r="O42" s="763">
        <f t="shared" si="3"/>
        <v>21</v>
      </c>
      <c r="P42" s="766">
        <f t="shared" si="4"/>
        <v>2047.5</v>
      </c>
      <c r="Q42">
        <f>VLOOKUP(A42,[3]Sheet1!$A$4:$B$43,2,FALSE)</f>
        <v>4</v>
      </c>
      <c r="R42" s="101">
        <f t="shared" si="2"/>
        <v>17</v>
      </c>
    </row>
    <row r="43" spans="1:18" x14ac:dyDescent="0.25">
      <c r="A43" t="str">
        <f t="shared" si="1"/>
        <v>6BR</v>
      </c>
      <c r="B43" s="733" t="s">
        <v>375</v>
      </c>
      <c r="C43" s="734" t="s">
        <v>263</v>
      </c>
      <c r="D43" s="734" t="s">
        <v>356</v>
      </c>
      <c r="E43" s="735" t="s">
        <v>376</v>
      </c>
      <c r="F43" s="756">
        <v>97.5</v>
      </c>
      <c r="G43" s="759">
        <v>1</v>
      </c>
      <c r="H43" s="537">
        <v>1</v>
      </c>
      <c r="I43" s="537">
        <v>1</v>
      </c>
      <c r="J43" s="537">
        <v>1</v>
      </c>
      <c r="K43" s="537">
        <v>1</v>
      </c>
      <c r="L43" s="537">
        <v>0</v>
      </c>
      <c r="M43" s="726">
        <v>1</v>
      </c>
      <c r="N43" s="726">
        <v>1</v>
      </c>
      <c r="O43" s="763">
        <f t="shared" si="3"/>
        <v>26</v>
      </c>
      <c r="P43" s="766">
        <f t="shared" si="4"/>
        <v>2535</v>
      </c>
      <c r="Q43">
        <f>VLOOKUP(A43,[3]Sheet1!$A$4:$B$43,2,FALSE)</f>
        <v>5</v>
      </c>
      <c r="R43" s="101">
        <f t="shared" si="2"/>
        <v>21</v>
      </c>
    </row>
    <row r="44" spans="1:18" x14ac:dyDescent="0.25">
      <c r="A44" t="str">
        <f t="shared" si="1"/>
        <v>6CF</v>
      </c>
      <c r="B44" s="733" t="s">
        <v>377</v>
      </c>
      <c r="C44" s="734" t="s">
        <v>264</v>
      </c>
      <c r="D44" s="734" t="s">
        <v>363</v>
      </c>
      <c r="E44" s="735" t="s">
        <v>356</v>
      </c>
      <c r="F44" s="756">
        <v>41</v>
      </c>
      <c r="G44" s="759">
        <v>1</v>
      </c>
      <c r="H44" s="537">
        <v>1</v>
      </c>
      <c r="I44" s="537">
        <v>1</v>
      </c>
      <c r="J44" s="537">
        <v>1</v>
      </c>
      <c r="K44" s="537">
        <v>1</v>
      </c>
      <c r="L44" s="537">
        <v>1</v>
      </c>
      <c r="M44" s="726">
        <v>0</v>
      </c>
      <c r="N44" s="726">
        <v>0</v>
      </c>
      <c r="O44" s="763">
        <f t="shared" si="3"/>
        <v>26</v>
      </c>
      <c r="P44" s="766">
        <f t="shared" si="4"/>
        <v>1066</v>
      </c>
      <c r="Q44">
        <f>VLOOKUP(A44,[3]Sheet1!$A$4:$B$43,2,FALSE)</f>
        <v>22</v>
      </c>
      <c r="R44" s="101">
        <f t="shared" si="2"/>
        <v>4</v>
      </c>
    </row>
    <row r="45" spans="1:18" x14ac:dyDescent="0.25">
      <c r="A45" t="str">
        <f t="shared" si="1"/>
        <v>6CR</v>
      </c>
      <c r="B45" s="733" t="s">
        <v>377</v>
      </c>
      <c r="C45" s="734" t="s">
        <v>263</v>
      </c>
      <c r="D45" s="734" t="s">
        <v>356</v>
      </c>
      <c r="E45" s="735" t="s">
        <v>363</v>
      </c>
      <c r="F45" s="756">
        <v>41</v>
      </c>
      <c r="G45" s="759">
        <v>1</v>
      </c>
      <c r="H45" s="537">
        <v>1</v>
      </c>
      <c r="I45" s="537">
        <v>1</v>
      </c>
      <c r="J45" s="537">
        <v>1</v>
      </c>
      <c r="K45" s="537">
        <v>1</v>
      </c>
      <c r="L45" s="537">
        <v>1</v>
      </c>
      <c r="M45" s="726">
        <v>0</v>
      </c>
      <c r="N45" s="726">
        <v>0</v>
      </c>
      <c r="O45" s="763">
        <f t="shared" si="3"/>
        <v>26</v>
      </c>
      <c r="P45" s="766">
        <f t="shared" si="4"/>
        <v>1066</v>
      </c>
      <c r="Q45">
        <f>VLOOKUP(A45,[3]Sheet1!$A$4:$B$43,2,FALSE)</f>
        <v>23</v>
      </c>
      <c r="R45" s="101">
        <f t="shared" si="2"/>
        <v>3</v>
      </c>
    </row>
    <row r="46" spans="1:18" x14ac:dyDescent="0.25">
      <c r="A46" t="str">
        <f t="shared" si="1"/>
        <v>7AF</v>
      </c>
      <c r="B46" s="733" t="s">
        <v>378</v>
      </c>
      <c r="C46" s="734" t="s">
        <v>264</v>
      </c>
      <c r="D46" s="734" t="s">
        <v>374</v>
      </c>
      <c r="E46" s="735" t="s">
        <v>356</v>
      </c>
      <c r="F46" s="756">
        <v>136.5</v>
      </c>
      <c r="G46" s="759">
        <v>1</v>
      </c>
      <c r="H46" s="537">
        <v>1</v>
      </c>
      <c r="I46" s="537">
        <v>1</v>
      </c>
      <c r="J46" s="537">
        <v>1</v>
      </c>
      <c r="K46" s="537">
        <v>1</v>
      </c>
      <c r="L46" s="537">
        <v>0</v>
      </c>
      <c r="M46" s="726">
        <v>0</v>
      </c>
      <c r="N46" s="726">
        <v>0</v>
      </c>
      <c r="O46" s="763">
        <f t="shared" si="3"/>
        <v>21</v>
      </c>
      <c r="P46" s="766">
        <f t="shared" si="4"/>
        <v>2866.5</v>
      </c>
      <c r="Q46">
        <f>VLOOKUP(A46,[3]Sheet1!$A$4:$B$43,2,FALSE)</f>
        <v>0</v>
      </c>
      <c r="R46" s="101">
        <f t="shared" si="2"/>
        <v>21</v>
      </c>
    </row>
    <row r="47" spans="1:18" x14ac:dyDescent="0.25">
      <c r="A47" t="str">
        <f t="shared" si="1"/>
        <v>7AR</v>
      </c>
      <c r="B47" s="733" t="s">
        <v>378</v>
      </c>
      <c r="C47" s="734" t="s">
        <v>263</v>
      </c>
      <c r="D47" s="734" t="s">
        <v>356</v>
      </c>
      <c r="E47" s="735" t="s">
        <v>374</v>
      </c>
      <c r="F47" s="756">
        <v>136.5</v>
      </c>
      <c r="G47" s="759">
        <v>1</v>
      </c>
      <c r="H47" s="537">
        <v>1</v>
      </c>
      <c r="I47" s="537">
        <v>1</v>
      </c>
      <c r="J47" s="537">
        <v>1</v>
      </c>
      <c r="K47" s="537">
        <v>1</v>
      </c>
      <c r="L47" s="537">
        <v>1</v>
      </c>
      <c r="M47" s="726">
        <v>0</v>
      </c>
      <c r="N47" s="726">
        <v>0</v>
      </c>
      <c r="O47" s="763">
        <f t="shared" si="3"/>
        <v>26</v>
      </c>
      <c r="P47" s="766">
        <f t="shared" si="4"/>
        <v>3549</v>
      </c>
      <c r="Q47">
        <f>VLOOKUP(A47,[3]Sheet1!$A$4:$B$43,2,FALSE)</f>
        <v>0</v>
      </c>
      <c r="R47" s="101">
        <f t="shared" si="2"/>
        <v>26</v>
      </c>
    </row>
    <row r="48" spans="1:18" x14ac:dyDescent="0.25">
      <c r="A48" t="str">
        <f t="shared" si="1"/>
        <v>7CF</v>
      </c>
      <c r="B48" s="733" t="s">
        <v>379</v>
      </c>
      <c r="C48" s="734" t="s">
        <v>264</v>
      </c>
      <c r="D48" s="734" t="s">
        <v>380</v>
      </c>
      <c r="E48" s="735" t="s">
        <v>356</v>
      </c>
      <c r="F48" s="756">
        <v>117.5</v>
      </c>
      <c r="G48" s="759">
        <v>1</v>
      </c>
      <c r="H48" s="537">
        <v>1</v>
      </c>
      <c r="I48" s="537">
        <v>1</v>
      </c>
      <c r="J48" s="537">
        <v>1</v>
      </c>
      <c r="K48" s="537">
        <v>1</v>
      </c>
      <c r="L48" s="537">
        <v>1</v>
      </c>
      <c r="M48" s="726">
        <v>1</v>
      </c>
      <c r="N48" s="726">
        <v>1</v>
      </c>
      <c r="O48" s="763">
        <f t="shared" si="3"/>
        <v>31</v>
      </c>
      <c r="P48" s="766">
        <f t="shared" si="4"/>
        <v>3642.5</v>
      </c>
      <c r="Q48">
        <f>VLOOKUP(A48,[3]Sheet1!$A$4:$B$43,2,FALSE)</f>
        <v>26</v>
      </c>
      <c r="R48" s="101">
        <f t="shared" si="2"/>
        <v>5</v>
      </c>
    </row>
    <row r="49" spans="1:18" x14ac:dyDescent="0.25">
      <c r="A49" t="str">
        <f t="shared" si="1"/>
        <v>7CR</v>
      </c>
      <c r="B49" s="733" t="s">
        <v>379</v>
      </c>
      <c r="C49" s="734" t="s">
        <v>263</v>
      </c>
      <c r="D49" s="734" t="s">
        <v>356</v>
      </c>
      <c r="E49" s="735" t="s">
        <v>380</v>
      </c>
      <c r="F49" s="756">
        <v>117.5</v>
      </c>
      <c r="G49" s="759">
        <v>1</v>
      </c>
      <c r="H49" s="537">
        <v>1</v>
      </c>
      <c r="I49" s="537">
        <v>1</v>
      </c>
      <c r="J49" s="537">
        <v>1</v>
      </c>
      <c r="K49" s="537">
        <v>1</v>
      </c>
      <c r="L49" s="537">
        <v>1</v>
      </c>
      <c r="M49" s="726">
        <v>1</v>
      </c>
      <c r="N49" s="726">
        <v>1</v>
      </c>
      <c r="O49" s="763">
        <f t="shared" si="3"/>
        <v>31</v>
      </c>
      <c r="P49" s="766">
        <f t="shared" si="4"/>
        <v>3642.5</v>
      </c>
      <c r="Q49">
        <f>VLOOKUP(A49,[3]Sheet1!$A$4:$B$43,2,FALSE)</f>
        <v>27</v>
      </c>
      <c r="R49" s="101">
        <f t="shared" si="2"/>
        <v>4</v>
      </c>
    </row>
    <row r="50" spans="1:18" x14ac:dyDescent="0.25">
      <c r="A50" t="str">
        <f t="shared" si="1"/>
        <v>8F</v>
      </c>
      <c r="B50" s="733" t="s">
        <v>381</v>
      </c>
      <c r="C50" s="734" t="s">
        <v>264</v>
      </c>
      <c r="D50" s="734" t="s">
        <v>382</v>
      </c>
      <c r="E50" s="735" t="s">
        <v>356</v>
      </c>
      <c r="F50" s="756">
        <v>78.8</v>
      </c>
      <c r="G50" s="759">
        <v>1</v>
      </c>
      <c r="H50" s="537">
        <v>1</v>
      </c>
      <c r="I50" s="537">
        <v>1</v>
      </c>
      <c r="J50" s="537">
        <v>1</v>
      </c>
      <c r="K50" s="537">
        <v>0</v>
      </c>
      <c r="L50" s="537">
        <v>1</v>
      </c>
      <c r="M50" s="726">
        <v>0</v>
      </c>
      <c r="N50" s="726">
        <v>0</v>
      </c>
      <c r="O50" s="763">
        <f t="shared" si="3"/>
        <v>21</v>
      </c>
      <c r="P50" s="766">
        <f t="shared" si="4"/>
        <v>1654.8</v>
      </c>
      <c r="Q50">
        <f>VLOOKUP(A50,[3]Sheet1!$A$4:$B$43,2,FALSE)</f>
        <v>18</v>
      </c>
      <c r="R50" s="101">
        <f t="shared" si="2"/>
        <v>3</v>
      </c>
    </row>
    <row r="51" spans="1:18" x14ac:dyDescent="0.25">
      <c r="A51" t="str">
        <f t="shared" si="1"/>
        <v>8R</v>
      </c>
      <c r="B51" s="733" t="s">
        <v>381</v>
      </c>
      <c r="C51" s="734" t="s">
        <v>263</v>
      </c>
      <c r="D51" s="734" t="s">
        <v>356</v>
      </c>
      <c r="E51" s="735" t="s">
        <v>382</v>
      </c>
      <c r="F51" s="756">
        <v>78.8</v>
      </c>
      <c r="G51" s="759">
        <v>1</v>
      </c>
      <c r="H51" s="537">
        <v>1</v>
      </c>
      <c r="I51" s="537">
        <v>1</v>
      </c>
      <c r="J51" s="537">
        <v>1</v>
      </c>
      <c r="K51" s="537">
        <v>0</v>
      </c>
      <c r="L51" s="537">
        <v>1</v>
      </c>
      <c r="M51" s="726">
        <v>0</v>
      </c>
      <c r="N51" s="726">
        <v>0</v>
      </c>
      <c r="O51" s="763">
        <f t="shared" si="3"/>
        <v>21</v>
      </c>
      <c r="P51" s="766">
        <f t="shared" si="4"/>
        <v>1654.8</v>
      </c>
      <c r="Q51">
        <f>VLOOKUP(A51,[3]Sheet1!$A$4:$B$43,2,FALSE)</f>
        <v>19</v>
      </c>
      <c r="R51" s="101">
        <f t="shared" si="2"/>
        <v>2</v>
      </c>
    </row>
    <row r="52" spans="1:18" x14ac:dyDescent="0.25">
      <c r="A52" t="str">
        <f t="shared" si="1"/>
        <v>9AF</v>
      </c>
      <c r="B52" s="733" t="s">
        <v>383</v>
      </c>
      <c r="C52" s="734" t="s">
        <v>264</v>
      </c>
      <c r="D52" s="734" t="s">
        <v>384</v>
      </c>
      <c r="E52" s="735" t="s">
        <v>385</v>
      </c>
      <c r="F52" s="756">
        <v>70.3</v>
      </c>
      <c r="G52" s="759">
        <v>1</v>
      </c>
      <c r="H52" s="537">
        <v>1</v>
      </c>
      <c r="I52" s="537">
        <v>1</v>
      </c>
      <c r="J52" s="537">
        <v>1</v>
      </c>
      <c r="K52" s="537">
        <v>1</v>
      </c>
      <c r="L52" s="537">
        <v>1</v>
      </c>
      <c r="M52" s="726">
        <v>0</v>
      </c>
      <c r="N52" s="726">
        <v>0</v>
      </c>
      <c r="O52" s="763">
        <f t="shared" si="3"/>
        <v>26</v>
      </c>
      <c r="P52" s="766">
        <f t="shared" si="4"/>
        <v>1827.8</v>
      </c>
      <c r="Q52">
        <f>VLOOKUP(A52,[3]Sheet1!$A$4:$B$43,2,FALSE)</f>
        <v>22</v>
      </c>
      <c r="R52" s="101">
        <f t="shared" si="2"/>
        <v>4</v>
      </c>
    </row>
    <row r="53" spans="1:18" x14ac:dyDescent="0.25">
      <c r="A53" t="str">
        <f t="shared" si="1"/>
        <v>9AR</v>
      </c>
      <c r="B53" s="733" t="s">
        <v>383</v>
      </c>
      <c r="C53" s="734" t="s">
        <v>263</v>
      </c>
      <c r="D53" s="734" t="s">
        <v>385</v>
      </c>
      <c r="E53" s="735" t="s">
        <v>384</v>
      </c>
      <c r="F53" s="756">
        <v>70.3</v>
      </c>
      <c r="G53" s="759">
        <v>1</v>
      </c>
      <c r="H53" s="537">
        <v>1</v>
      </c>
      <c r="I53" s="537">
        <v>1</v>
      </c>
      <c r="J53" s="537">
        <v>1</v>
      </c>
      <c r="K53" s="537">
        <v>1</v>
      </c>
      <c r="L53" s="537">
        <v>1</v>
      </c>
      <c r="M53" s="726">
        <v>0</v>
      </c>
      <c r="N53" s="726">
        <v>0</v>
      </c>
      <c r="O53" s="763">
        <f>(G53*$G$58)+(H53*$H$58)+(I53*$I$58)+(J53*$J$58)+(K53*$K$58)+(L53*$L$58)+(M53*$M$58)+(N53*$N$58)</f>
        <v>26</v>
      </c>
      <c r="P53" s="766">
        <f t="shared" ref="P53:P55" si="5">F53*O53</f>
        <v>1827.8</v>
      </c>
      <c r="Q53">
        <f>VLOOKUP(A53,[3]Sheet1!$A$4:$B$43,2,FALSE)</f>
        <v>23</v>
      </c>
      <c r="R53" s="101">
        <f t="shared" si="2"/>
        <v>3</v>
      </c>
    </row>
    <row r="54" spans="1:18" x14ac:dyDescent="0.25">
      <c r="A54" t="str">
        <f t="shared" si="1"/>
        <v>9BF</v>
      </c>
      <c r="B54" s="733" t="s">
        <v>386</v>
      </c>
      <c r="C54" s="734" t="s">
        <v>264</v>
      </c>
      <c r="D54" s="734" t="s">
        <v>387</v>
      </c>
      <c r="E54" s="735" t="s">
        <v>385</v>
      </c>
      <c r="F54" s="756">
        <v>78</v>
      </c>
      <c r="G54" s="759">
        <v>1</v>
      </c>
      <c r="H54" s="537">
        <v>1</v>
      </c>
      <c r="I54" s="537">
        <v>1</v>
      </c>
      <c r="J54" s="537">
        <v>1</v>
      </c>
      <c r="K54" s="537">
        <v>1</v>
      </c>
      <c r="L54" s="537">
        <v>1</v>
      </c>
      <c r="M54" s="726">
        <v>0</v>
      </c>
      <c r="N54" s="726">
        <v>0</v>
      </c>
      <c r="O54" s="763">
        <f>(G54*$G$58)+(H54*$H$58)+(I54*$I$58)+(J54*$J$58)+(K54*$K$58)+(L54*$L$58)+(M54*$M$58)+(N54*$N$58)</f>
        <v>26</v>
      </c>
      <c r="P54" s="766">
        <f t="shared" si="5"/>
        <v>2028</v>
      </c>
      <c r="Q54">
        <f>VLOOKUP(A54,[3]Sheet1!$A$4:$B$43,2,FALSE)</f>
        <v>22</v>
      </c>
      <c r="R54" s="101">
        <f t="shared" si="2"/>
        <v>4</v>
      </c>
    </row>
    <row r="55" spans="1:18" x14ac:dyDescent="0.25">
      <c r="A55" t="str">
        <f t="shared" si="1"/>
        <v>9BR</v>
      </c>
      <c r="B55" s="733" t="s">
        <v>386</v>
      </c>
      <c r="C55" s="734" t="s">
        <v>263</v>
      </c>
      <c r="D55" s="734" t="s">
        <v>385</v>
      </c>
      <c r="E55" s="735" t="s">
        <v>388</v>
      </c>
      <c r="F55" s="756">
        <v>78</v>
      </c>
      <c r="G55" s="759">
        <v>1</v>
      </c>
      <c r="H55" s="537">
        <v>1</v>
      </c>
      <c r="I55" s="537">
        <v>1</v>
      </c>
      <c r="J55" s="537">
        <v>1</v>
      </c>
      <c r="K55" s="537">
        <v>1</v>
      </c>
      <c r="L55" s="537">
        <v>1</v>
      </c>
      <c r="M55" s="726">
        <v>0</v>
      </c>
      <c r="N55" s="726">
        <v>0</v>
      </c>
      <c r="O55" s="763">
        <f>(G55*$G$58)+(H55*$H$58)+(I55*$I$58)+(J55*$J$58)+(K55*$K$58)+(L55*$L$58)+(M55*$M$58)+(N55*$N$58)</f>
        <v>26</v>
      </c>
      <c r="P55" s="766">
        <f t="shared" si="5"/>
        <v>2028</v>
      </c>
      <c r="Q55">
        <f>VLOOKUP(A55,[3]Sheet1!$A$4:$B$43,2,FALSE)</f>
        <v>23</v>
      </c>
      <c r="R55" s="101">
        <f t="shared" si="2"/>
        <v>3</v>
      </c>
    </row>
    <row r="56" spans="1:18" ht="13" thickBot="1" x14ac:dyDescent="0.3">
      <c r="B56" s="525"/>
      <c r="C56" s="548"/>
      <c r="D56" s="549"/>
      <c r="E56" s="550"/>
      <c r="F56" s="757"/>
      <c r="G56" s="760"/>
      <c r="H56" s="553"/>
      <c r="I56" s="553"/>
      <c r="J56" s="553"/>
      <c r="K56" s="553"/>
      <c r="L56" s="553"/>
      <c r="M56" s="553"/>
      <c r="N56" s="742"/>
      <c r="O56" s="764"/>
      <c r="P56" s="761"/>
    </row>
    <row r="57" spans="1:18" ht="13" x14ac:dyDescent="0.3">
      <c r="B57" s="190"/>
      <c r="C57" s="190"/>
      <c r="D57" s="52" t="s">
        <v>117</v>
      </c>
      <c r="E57" s="190"/>
      <c r="F57" s="153"/>
      <c r="G57" s="523">
        <f t="shared" ref="G57:P57" si="6">SUM(G16:G56)</f>
        <v>38</v>
      </c>
      <c r="H57" s="523">
        <f t="shared" si="6"/>
        <v>38</v>
      </c>
      <c r="I57" s="523">
        <f t="shared" si="6"/>
        <v>38</v>
      </c>
      <c r="J57" s="523">
        <f t="shared" si="6"/>
        <v>38</v>
      </c>
      <c r="K57" s="523">
        <f t="shared" si="6"/>
        <v>36</v>
      </c>
      <c r="L57" s="523">
        <f t="shared" si="6"/>
        <v>33</v>
      </c>
      <c r="M57" s="523">
        <f t="shared" si="6"/>
        <v>9</v>
      </c>
      <c r="N57" s="523">
        <f t="shared" si="6"/>
        <v>9</v>
      </c>
      <c r="O57" s="524">
        <f t="shared" si="6"/>
        <v>998</v>
      </c>
      <c r="P57" s="582">
        <f t="shared" si="6"/>
        <v>82763.400000000009</v>
      </c>
    </row>
    <row r="58" spans="1:18" ht="13" x14ac:dyDescent="0.3">
      <c r="B58" s="190"/>
      <c r="C58" s="190"/>
      <c r="D58" s="52" t="s">
        <v>118</v>
      </c>
      <c r="E58" s="190"/>
      <c r="F58" s="153"/>
      <c r="G58" s="732">
        <v>4</v>
      </c>
      <c r="H58" s="732">
        <v>4</v>
      </c>
      <c r="I58" s="732">
        <v>4</v>
      </c>
      <c r="J58" s="732">
        <v>4</v>
      </c>
      <c r="K58" s="732">
        <v>5</v>
      </c>
      <c r="L58" s="732">
        <v>5</v>
      </c>
      <c r="M58" s="732">
        <v>4</v>
      </c>
      <c r="N58" s="732">
        <v>1</v>
      </c>
    </row>
    <row r="59" spans="1:18" ht="13" x14ac:dyDescent="0.3">
      <c r="B59" s="190"/>
      <c r="C59" s="190"/>
      <c r="D59" s="52"/>
      <c r="E59" s="190"/>
      <c r="F59" s="153"/>
      <c r="G59" s="336"/>
      <c r="H59" s="336"/>
      <c r="I59" s="336"/>
      <c r="J59" s="336"/>
      <c r="K59" s="336"/>
      <c r="L59" s="336"/>
      <c r="M59" s="336"/>
      <c r="N59" s="336"/>
    </row>
    <row r="62" spans="1:18" x14ac:dyDescent="0.25">
      <c r="O62" s="59" t="e">
        <f>O57+#REF!</f>
        <v>#REF!</v>
      </c>
      <c r="P62" s="100"/>
    </row>
    <row r="64" spans="1:18" x14ac:dyDescent="0.25">
      <c r="O64">
        <f>SUM(G58:N58)</f>
        <v>31</v>
      </c>
    </row>
  </sheetData>
  <mergeCells count="18">
    <mergeCell ref="B1:P1"/>
    <mergeCell ref="P11:P14"/>
    <mergeCell ref="B11:B14"/>
    <mergeCell ref="D11:D14"/>
    <mergeCell ref="E11:E14"/>
    <mergeCell ref="F11:F14"/>
    <mergeCell ref="G13:G14"/>
    <mergeCell ref="H13:H14"/>
    <mergeCell ref="I13:I14"/>
    <mergeCell ref="O11:O14"/>
    <mergeCell ref="I7:J7"/>
    <mergeCell ref="C11:C14"/>
    <mergeCell ref="J13:J14"/>
    <mergeCell ref="K13:K14"/>
    <mergeCell ref="N13:N14"/>
    <mergeCell ref="G11:N12"/>
    <mergeCell ref="L13:L14"/>
    <mergeCell ref="M13:M14"/>
  </mergeCells>
  <phoneticPr fontId="5" type="noConversion"/>
  <pageMargins left="0.74803149606299213" right="0.74803149606299213" top="0.98425196850393704" bottom="0.98425196850393704" header="0.51181102362204722" footer="0.51181102362204722"/>
  <pageSetup paperSize="9" scale="48" orientation="portrait" horizontalDpi="4294967292" verticalDpi="4294967292" r:id="rId1"/>
  <headerFooter alignWithMargins="0"/>
  <colBreaks count="1" manualBreakCount="1">
    <brk id="16" max="1369" man="1"/>
  </colBreaks>
  <ignoredErrors>
    <ignoredError sqref="G57:M57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DA30-D95E-4877-97A6-8019DA41071A}">
  <dimension ref="A1:R24"/>
  <sheetViews>
    <sheetView view="pageBreakPreview" topLeftCell="A8" zoomScale="70" zoomScaleNormal="125" zoomScaleSheetLayoutView="70" workbookViewId="0">
      <selection activeCell="N29" sqref="N29"/>
    </sheetView>
  </sheetViews>
  <sheetFormatPr defaultColWidth="9.1796875" defaultRowHeight="12.5" x14ac:dyDescent="0.25"/>
  <cols>
    <col min="1" max="1" width="12.1796875" customWidth="1"/>
    <col min="2" max="2" width="17" customWidth="1"/>
    <col min="3" max="3" width="7.453125" customWidth="1"/>
    <col min="4" max="4" width="27.7265625" customWidth="1"/>
    <col min="5" max="5" width="26.54296875" customWidth="1"/>
    <col min="6" max="6" width="8.1796875" style="78" customWidth="1"/>
    <col min="7" max="7" width="7" customWidth="1"/>
    <col min="8" max="8" width="7.453125" customWidth="1"/>
    <col min="9" max="9" width="6.7265625" customWidth="1"/>
    <col min="10" max="11" width="6.453125" customWidth="1"/>
    <col min="12" max="12" width="7.81640625" customWidth="1"/>
    <col min="13" max="14" width="6.1796875" customWidth="1"/>
    <col min="15" max="15" width="11.453125" customWidth="1"/>
    <col min="16" max="16" width="12" customWidth="1"/>
    <col min="17" max="259" width="11.453125" customWidth="1"/>
  </cols>
  <sheetData>
    <row r="1" spans="1:18" ht="13" x14ac:dyDescent="0.3">
      <c r="B1" s="957" t="s">
        <v>259</v>
      </c>
      <c r="C1" s="957"/>
      <c r="D1" s="957"/>
      <c r="E1" s="957"/>
      <c r="F1" s="957"/>
      <c r="G1" s="957"/>
      <c r="H1" s="957"/>
      <c r="I1" s="957"/>
      <c r="J1" s="957"/>
      <c r="K1" s="957"/>
      <c r="L1" s="957"/>
      <c r="M1" s="957"/>
      <c r="N1" s="957"/>
      <c r="O1" s="957"/>
      <c r="P1" s="957"/>
    </row>
    <row r="3" spans="1:18" ht="13" x14ac:dyDescent="0.3">
      <c r="B3" s="50" t="s">
        <v>0</v>
      </c>
      <c r="C3" s="50"/>
      <c r="D3" s="9" t="str">
        <f>'FORM A'!C3</f>
        <v>PROVISION OF PUBLIC PASSENGER TRANSPORT MKUZE AND SURROUNDING</v>
      </c>
      <c r="F3" s="578"/>
    </row>
    <row r="4" spans="1:18" x14ac:dyDescent="0.25">
      <c r="D4" s="6"/>
      <c r="E4" s="6"/>
      <c r="F4" s="41"/>
    </row>
    <row r="5" spans="1:18" ht="13" x14ac:dyDescent="0.3">
      <c r="B5" s="50" t="str">
        <f>'FORM A'!A6</f>
        <v>CONTRACT : ZNT 1129</v>
      </c>
      <c r="C5" s="50"/>
      <c r="E5" s="1"/>
      <c r="F5" s="58"/>
      <c r="G5" s="50" t="s">
        <v>2</v>
      </c>
      <c r="I5" s="8" t="str">
        <f>'FORM A'!F6</f>
        <v>Ripple Effect 40 (Pty) Ltd</v>
      </c>
    </row>
    <row r="6" spans="1:18" ht="13" x14ac:dyDescent="0.3">
      <c r="B6" s="55"/>
      <c r="C6" s="55"/>
      <c r="E6" s="1"/>
      <c r="F6" s="58"/>
      <c r="I6" s="1"/>
      <c r="J6" s="1"/>
      <c r="K6" s="52"/>
    </row>
    <row r="7" spans="1:18" ht="13" x14ac:dyDescent="0.3">
      <c r="B7" s="55" t="s">
        <v>32</v>
      </c>
      <c r="C7" s="55"/>
      <c r="E7" s="103">
        <f>'FORM A'!C8</f>
        <v>320</v>
      </c>
      <c r="F7" s="581"/>
      <c r="G7" s="52" t="s">
        <v>105</v>
      </c>
      <c r="I7" s="972">
        <f>'FORM A'!F8</f>
        <v>45778</v>
      </c>
      <c r="J7" s="972"/>
    </row>
    <row r="8" spans="1:18" x14ac:dyDescent="0.25">
      <c r="B8" s="1"/>
      <c r="C8" s="1"/>
      <c r="D8" s="1"/>
      <c r="E8" s="1"/>
      <c r="F8" s="58"/>
    </row>
    <row r="9" spans="1:18" x14ac:dyDescent="0.25">
      <c r="B9" s="55" t="s">
        <v>235</v>
      </c>
      <c r="C9" s="55"/>
      <c r="D9" s="1"/>
      <c r="E9" s="1"/>
      <c r="F9" s="58"/>
    </row>
    <row r="10" spans="1:18" ht="13" thickBot="1" x14ac:dyDescent="0.3"/>
    <row r="11" spans="1:18" x14ac:dyDescent="0.25">
      <c r="B11" s="960" t="s">
        <v>257</v>
      </c>
      <c r="C11" s="963" t="s">
        <v>262</v>
      </c>
      <c r="D11" s="963" t="s">
        <v>52</v>
      </c>
      <c r="E11" s="965" t="s">
        <v>53</v>
      </c>
      <c r="F11" s="968" t="s">
        <v>258</v>
      </c>
      <c r="G11" s="952" t="s">
        <v>116</v>
      </c>
      <c r="H11" s="953"/>
      <c r="I11" s="953"/>
      <c r="J11" s="953"/>
      <c r="K11" s="953"/>
      <c r="L11" s="953"/>
      <c r="M11" s="953"/>
      <c r="N11" s="954"/>
      <c r="O11" s="958" t="s">
        <v>260</v>
      </c>
      <c r="P11" s="958" t="s">
        <v>261</v>
      </c>
    </row>
    <row r="12" spans="1:18" x14ac:dyDescent="0.25">
      <c r="B12" s="961"/>
      <c r="C12" s="964"/>
      <c r="D12" s="964"/>
      <c r="E12" s="966"/>
      <c r="F12" s="969"/>
      <c r="G12" s="955"/>
      <c r="H12" s="944"/>
      <c r="I12" s="944"/>
      <c r="J12" s="944"/>
      <c r="K12" s="944"/>
      <c r="L12" s="944"/>
      <c r="M12" s="944"/>
      <c r="N12" s="956"/>
      <c r="O12" s="959"/>
      <c r="P12" s="959"/>
    </row>
    <row r="13" spans="1:18" ht="12" customHeight="1" x14ac:dyDescent="0.25">
      <c r="B13" s="961"/>
      <c r="C13" s="964"/>
      <c r="D13" s="964"/>
      <c r="E13" s="966"/>
      <c r="F13" s="969"/>
      <c r="G13" s="971" t="s">
        <v>110</v>
      </c>
      <c r="H13" s="950" t="s">
        <v>111</v>
      </c>
      <c r="I13" s="950" t="s">
        <v>109</v>
      </c>
      <c r="J13" s="950" t="s">
        <v>112</v>
      </c>
      <c r="K13" s="950" t="s">
        <v>113</v>
      </c>
      <c r="L13" s="950" t="s">
        <v>114</v>
      </c>
      <c r="M13" s="950" t="s">
        <v>115</v>
      </c>
      <c r="N13" s="940" t="s">
        <v>281</v>
      </c>
      <c r="O13" s="959"/>
      <c r="P13" s="959"/>
    </row>
    <row r="14" spans="1:18" ht="15" customHeight="1" x14ac:dyDescent="0.25">
      <c r="B14" s="962"/>
      <c r="C14" s="951"/>
      <c r="D14" s="951"/>
      <c r="E14" s="967"/>
      <c r="F14" s="970"/>
      <c r="G14" s="962"/>
      <c r="H14" s="951"/>
      <c r="I14" s="951"/>
      <c r="J14" s="951"/>
      <c r="K14" s="951"/>
      <c r="L14" s="951"/>
      <c r="M14" s="951"/>
      <c r="N14" s="943"/>
      <c r="O14" s="959"/>
      <c r="P14" s="959"/>
    </row>
    <row r="15" spans="1:18" ht="13" thickBot="1" x14ac:dyDescent="0.3">
      <c r="B15" s="545" t="s">
        <v>20</v>
      </c>
      <c r="C15" s="528">
        <v>2</v>
      </c>
      <c r="D15" s="528">
        <v>3</v>
      </c>
      <c r="E15" s="546">
        <v>4</v>
      </c>
      <c r="F15" s="547">
        <v>5</v>
      </c>
      <c r="G15" s="530">
        <v>6</v>
      </c>
      <c r="H15" s="531">
        <v>7</v>
      </c>
      <c r="I15" s="532">
        <v>8</v>
      </c>
      <c r="J15" s="532">
        <v>9</v>
      </c>
      <c r="K15" s="532">
        <v>10</v>
      </c>
      <c r="L15" s="532">
        <v>11</v>
      </c>
      <c r="M15" s="532">
        <v>12</v>
      </c>
      <c r="N15" s="529">
        <f t="shared" ref="N15" si="0">M15+1</f>
        <v>13</v>
      </c>
      <c r="O15" s="533">
        <v>13</v>
      </c>
      <c r="P15" s="533">
        <v>14</v>
      </c>
    </row>
    <row r="16" spans="1:18" x14ac:dyDescent="0.25">
      <c r="A16" t="str">
        <f>CONCATENATE(B16,C16)</f>
        <v>4R</v>
      </c>
      <c r="B16" s="721">
        <v>4</v>
      </c>
      <c r="C16" s="557" t="s">
        <v>263</v>
      </c>
      <c r="D16" s="557" t="s">
        <v>393</v>
      </c>
      <c r="E16" s="722" t="s">
        <v>355</v>
      </c>
      <c r="F16" s="560">
        <v>98.9</v>
      </c>
      <c r="G16" s="723">
        <v>2</v>
      </c>
      <c r="H16" s="724">
        <v>2</v>
      </c>
      <c r="I16" s="724">
        <v>2</v>
      </c>
      <c r="J16" s="724">
        <v>2</v>
      </c>
      <c r="K16" s="724">
        <v>2</v>
      </c>
      <c r="L16" s="724"/>
      <c r="M16" s="725"/>
      <c r="N16" s="740"/>
      <c r="O16" s="743">
        <f>(G16*$G$23)+(H16*$H$23)+(I16*$I$23)+(J16*$J$23)+(K16*$K$23)+(L16*$L$23)+(M16*$M$23)+(N16*$N$23)</f>
        <v>42</v>
      </c>
      <c r="P16" s="744">
        <f>F16*O16</f>
        <v>4153.8</v>
      </c>
      <c r="R16" s="107">
        <f>ROUND(F16,1)</f>
        <v>98.9</v>
      </c>
    </row>
    <row r="17" spans="1:18" x14ac:dyDescent="0.25">
      <c r="A17" t="str">
        <f t="shared" ref="A17:A20" si="1">CONCATENATE(B17,C17)</f>
        <v>8F</v>
      </c>
      <c r="B17" s="733">
        <v>8</v>
      </c>
      <c r="C17" s="734" t="s">
        <v>264</v>
      </c>
      <c r="D17" s="734" t="s">
        <v>382</v>
      </c>
      <c r="E17" s="735" t="s">
        <v>356</v>
      </c>
      <c r="F17" s="736">
        <v>78.8</v>
      </c>
      <c r="G17" s="737"/>
      <c r="H17" s="738"/>
      <c r="I17" s="738"/>
      <c r="J17" s="738"/>
      <c r="K17" s="738">
        <v>2</v>
      </c>
      <c r="L17" s="738"/>
      <c r="M17" s="739"/>
      <c r="N17" s="741"/>
      <c r="O17" s="745">
        <f>(G17*$G$23)+(H17*$H$23)+(I17*$I$23)+(J17*$J$23)+(K17*$K$23)+(L17*$L$23)+(M17*$M$23)+(N17*$N$23)</f>
        <v>10</v>
      </c>
      <c r="P17" s="746">
        <f t="shared" ref="P17:P20" si="2">F17*O17</f>
        <v>788</v>
      </c>
      <c r="R17" s="107"/>
    </row>
    <row r="18" spans="1:18" x14ac:dyDescent="0.25">
      <c r="A18" t="str">
        <f t="shared" si="1"/>
        <v>11AR</v>
      </c>
      <c r="B18" s="733" t="s">
        <v>390</v>
      </c>
      <c r="C18" s="734" t="s">
        <v>263</v>
      </c>
      <c r="D18" s="734" t="s">
        <v>394</v>
      </c>
      <c r="E18" s="735" t="s">
        <v>395</v>
      </c>
      <c r="F18" s="736">
        <v>125.6</v>
      </c>
      <c r="G18" s="737">
        <v>2</v>
      </c>
      <c r="H18" s="738">
        <v>2</v>
      </c>
      <c r="I18" s="738">
        <v>2</v>
      </c>
      <c r="J18" s="738">
        <v>2</v>
      </c>
      <c r="K18" s="738">
        <v>2</v>
      </c>
      <c r="L18" s="738"/>
      <c r="M18" s="739"/>
      <c r="N18" s="741"/>
      <c r="O18" s="745">
        <f>(G18*$G$23)+(H18*$H$23)+(I18*$I$23)+(J18*$J$23)+(K18*$K$23)+(L18*$L$23)+(M18*$M$23)+(N18*$N$23)</f>
        <v>42</v>
      </c>
      <c r="P18" s="746">
        <f t="shared" si="2"/>
        <v>5275.2</v>
      </c>
      <c r="R18" s="107"/>
    </row>
    <row r="19" spans="1:18" x14ac:dyDescent="0.25">
      <c r="A19" t="str">
        <f t="shared" si="1"/>
        <v>11BF</v>
      </c>
      <c r="B19" s="733" t="s">
        <v>391</v>
      </c>
      <c r="C19" s="734" t="s">
        <v>264</v>
      </c>
      <c r="D19" s="734" t="s">
        <v>382</v>
      </c>
      <c r="E19" s="735" t="s">
        <v>395</v>
      </c>
      <c r="F19" s="736">
        <v>224.9</v>
      </c>
      <c r="G19" s="737"/>
      <c r="H19" s="738"/>
      <c r="I19" s="738"/>
      <c r="J19" s="738"/>
      <c r="K19" s="738">
        <v>2</v>
      </c>
      <c r="L19" s="738"/>
      <c r="M19" s="739">
        <v>2</v>
      </c>
      <c r="N19" s="741"/>
      <c r="O19" s="745">
        <f>(G19*$G$23)+(H19*$H$23)+(I19*$I$23)+(J19*$J$23)+(K19*$K$23)+(L19*$L$23)+(M19*$M$23)+(N19*$N$23)</f>
        <v>18</v>
      </c>
      <c r="P19" s="746">
        <f t="shared" si="2"/>
        <v>4048.2000000000003</v>
      </c>
      <c r="R19" s="107"/>
    </row>
    <row r="20" spans="1:18" x14ac:dyDescent="0.25">
      <c r="A20" t="str">
        <f t="shared" si="1"/>
        <v>19AR</v>
      </c>
      <c r="B20" s="733" t="s">
        <v>392</v>
      </c>
      <c r="C20" s="734" t="s">
        <v>263</v>
      </c>
      <c r="D20" s="734" t="s">
        <v>394</v>
      </c>
      <c r="E20" s="735" t="s">
        <v>396</v>
      </c>
      <c r="F20" s="736">
        <v>40</v>
      </c>
      <c r="G20" s="737">
        <v>2</v>
      </c>
      <c r="H20" s="738">
        <v>2</v>
      </c>
      <c r="I20" s="738">
        <v>2</v>
      </c>
      <c r="J20" s="738">
        <v>2</v>
      </c>
      <c r="K20" s="738">
        <v>2</v>
      </c>
      <c r="L20" s="738">
        <v>2</v>
      </c>
      <c r="M20" s="739"/>
      <c r="N20" s="741"/>
      <c r="O20" s="745">
        <f>(G20*$G$23)+(H20*$H$23)+(I20*$I$23)+(J20*$J$23)+(K20*$K$23)+(L20*$L$23)+(M20*$M$23)+(N20*$N$23)</f>
        <v>52</v>
      </c>
      <c r="P20" s="746">
        <f t="shared" si="2"/>
        <v>2080</v>
      </c>
      <c r="R20" s="107"/>
    </row>
    <row r="21" spans="1:18" ht="13" thickBot="1" x14ac:dyDescent="0.3">
      <c r="B21" s="525"/>
      <c r="C21" s="548"/>
      <c r="D21" s="549"/>
      <c r="E21" s="550"/>
      <c r="F21" s="551"/>
      <c r="G21" s="552"/>
      <c r="H21" s="553"/>
      <c r="I21" s="553"/>
      <c r="J21" s="553"/>
      <c r="K21" s="553"/>
      <c r="L21" s="553"/>
      <c r="M21" s="553"/>
      <c r="N21" s="742"/>
      <c r="O21" s="747"/>
      <c r="P21" s="550"/>
    </row>
    <row r="22" spans="1:18" ht="13" x14ac:dyDescent="0.3">
      <c r="B22" s="190"/>
      <c r="C22" s="190"/>
      <c r="D22" s="52" t="s">
        <v>117</v>
      </c>
      <c r="E22" s="190"/>
      <c r="F22" s="153"/>
      <c r="G22" s="523">
        <f t="shared" ref="G22:P22" si="3">SUM(G16:G21)</f>
        <v>6</v>
      </c>
      <c r="H22" s="523">
        <f t="shared" si="3"/>
        <v>6</v>
      </c>
      <c r="I22" s="523">
        <f t="shared" si="3"/>
        <v>6</v>
      </c>
      <c r="J22" s="523">
        <f t="shared" si="3"/>
        <v>6</v>
      </c>
      <c r="K22" s="523">
        <f t="shared" si="3"/>
        <v>10</v>
      </c>
      <c r="L22" s="523">
        <f t="shared" si="3"/>
        <v>2</v>
      </c>
      <c r="M22" s="523">
        <f t="shared" si="3"/>
        <v>2</v>
      </c>
      <c r="N22" s="523">
        <f t="shared" si="3"/>
        <v>0</v>
      </c>
      <c r="O22" s="524">
        <f t="shared" si="3"/>
        <v>164</v>
      </c>
      <c r="P22" s="582">
        <f t="shared" si="3"/>
        <v>16345.2</v>
      </c>
    </row>
    <row r="23" spans="1:18" ht="13" x14ac:dyDescent="0.3">
      <c r="B23" s="190"/>
      <c r="C23" s="190"/>
      <c r="D23" s="52" t="s">
        <v>118</v>
      </c>
      <c r="E23" s="190"/>
      <c r="F23" s="153"/>
      <c r="G23" s="563">
        <f>'FORM I1 SUB STD NORMAL'!G58</f>
        <v>4</v>
      </c>
      <c r="H23" s="563">
        <f>'FORM I1 SUB STD NORMAL'!H58</f>
        <v>4</v>
      </c>
      <c r="I23" s="563">
        <f>'FORM I1 SUB STD NORMAL'!I58</f>
        <v>4</v>
      </c>
      <c r="J23" s="563">
        <f>'FORM I1 SUB STD NORMAL'!J58</f>
        <v>4</v>
      </c>
      <c r="K23" s="563">
        <f>'FORM I1 SUB STD NORMAL'!K58</f>
        <v>5</v>
      </c>
      <c r="L23" s="563">
        <f>'FORM I1 SUB STD NORMAL'!L58</f>
        <v>5</v>
      </c>
      <c r="M23" s="563">
        <f>'FORM I1 SUB STD NORMAL'!M58</f>
        <v>4</v>
      </c>
      <c r="N23" s="563">
        <f>'FORM I1 SUB STD NORMAL'!N58</f>
        <v>1</v>
      </c>
    </row>
    <row r="24" spans="1:18" ht="13" x14ac:dyDescent="0.3">
      <c r="B24" s="190"/>
      <c r="C24" s="190"/>
      <c r="D24" s="52"/>
      <c r="E24" s="190"/>
      <c r="F24" s="153"/>
      <c r="G24" s="336"/>
      <c r="H24" s="336"/>
      <c r="I24" s="336"/>
      <c r="J24" s="336"/>
      <c r="K24" s="336"/>
      <c r="L24" s="336"/>
      <c r="M24" s="336"/>
      <c r="N24" s="336"/>
    </row>
  </sheetData>
  <autoFilter ref="C1:C40" xr:uid="{7B36E1E2-414F-4F89-9D98-6452D3BD816F}"/>
  <mergeCells count="18">
    <mergeCell ref="K13:K14"/>
    <mergeCell ref="L13:L14"/>
    <mergeCell ref="B1:P1"/>
    <mergeCell ref="I7:J7"/>
    <mergeCell ref="B11:B14"/>
    <mergeCell ref="C11:C14"/>
    <mergeCell ref="D11:D14"/>
    <mergeCell ref="E11:E14"/>
    <mergeCell ref="F11:F14"/>
    <mergeCell ref="G11:N12"/>
    <mergeCell ref="O11:O14"/>
    <mergeCell ref="P11:P14"/>
    <mergeCell ref="M13:M14"/>
    <mergeCell ref="N13:N14"/>
    <mergeCell ref="G13:G14"/>
    <mergeCell ref="H13:H14"/>
    <mergeCell ref="I13:I14"/>
    <mergeCell ref="J13:J14"/>
  </mergeCells>
  <pageMargins left="0.74803149606299213" right="0.74803149606299213" top="0.98425196850393704" bottom="0.98425196850393704" header="0.51181102362204722" footer="0.51181102362204722"/>
  <pageSetup paperSize="9" scale="48" orientation="landscape" horizontalDpi="4294967292" verticalDpi="4294967292" r:id="rId1"/>
  <headerFooter alignWithMargins="0"/>
  <colBreaks count="1" manualBreakCount="1">
    <brk id="16" max="136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9B07-D8A6-4011-BA99-D1A608312B50}">
  <sheetPr>
    <tabColor rgb="FFFFFF00"/>
  </sheetPr>
  <dimension ref="A1:R62"/>
  <sheetViews>
    <sheetView view="pageBreakPreview" topLeftCell="A35" zoomScale="70" zoomScaleNormal="125" zoomScaleSheetLayoutView="70" workbookViewId="0">
      <selection activeCell="P62" sqref="P62"/>
    </sheetView>
  </sheetViews>
  <sheetFormatPr defaultColWidth="9.1796875" defaultRowHeight="12.5" x14ac:dyDescent="0.25"/>
  <cols>
    <col min="1" max="1" width="12.1796875" customWidth="1"/>
    <col min="2" max="2" width="17" customWidth="1"/>
    <col min="3" max="3" width="7.453125" customWidth="1"/>
    <col min="4" max="4" width="27.7265625" customWidth="1"/>
    <col min="5" max="5" width="26.54296875" customWidth="1"/>
    <col min="6" max="6" width="8.1796875" style="78" customWidth="1"/>
    <col min="7" max="7" width="7" customWidth="1"/>
    <col min="8" max="8" width="7.453125" customWidth="1"/>
    <col min="9" max="9" width="6.7265625" customWidth="1"/>
    <col min="10" max="11" width="6.453125" customWidth="1"/>
    <col min="12" max="12" width="7.81640625" customWidth="1"/>
    <col min="13" max="14" width="6.1796875" customWidth="1"/>
    <col min="15" max="15" width="11.453125" customWidth="1"/>
    <col min="16" max="16" width="12" customWidth="1"/>
    <col min="17" max="259" width="11.453125" customWidth="1"/>
  </cols>
  <sheetData>
    <row r="1" spans="1:18" ht="13" x14ac:dyDescent="0.3">
      <c r="B1" s="957" t="s">
        <v>259</v>
      </c>
      <c r="C1" s="957"/>
      <c r="D1" s="957"/>
      <c r="E1" s="957"/>
      <c r="F1" s="957"/>
      <c r="G1" s="957"/>
      <c r="H1" s="957"/>
      <c r="I1" s="957"/>
      <c r="J1" s="957"/>
      <c r="K1" s="957"/>
      <c r="L1" s="957"/>
      <c r="M1" s="957"/>
      <c r="N1" s="957"/>
      <c r="O1" s="957"/>
      <c r="P1" s="957"/>
    </row>
    <row r="3" spans="1:18" ht="13" x14ac:dyDescent="0.3">
      <c r="B3" s="50" t="s">
        <v>0</v>
      </c>
      <c r="C3" s="50"/>
      <c r="D3" s="9" t="str">
        <f>'FORM A'!C3</f>
        <v>PROVISION OF PUBLIC PASSENGER TRANSPORT MKUZE AND SURROUNDING</v>
      </c>
      <c r="F3" s="578"/>
    </row>
    <row r="4" spans="1:18" x14ac:dyDescent="0.25">
      <c r="D4" s="6"/>
      <c r="E4" s="6"/>
      <c r="F4" s="41"/>
    </row>
    <row r="5" spans="1:18" ht="13" x14ac:dyDescent="0.3">
      <c r="B5" s="50" t="str">
        <f>'FORM A'!A6</f>
        <v>CONTRACT : ZNT 1129</v>
      </c>
      <c r="C5" s="50"/>
      <c r="E5" s="1"/>
      <c r="F5" s="58"/>
      <c r="G5" s="50" t="s">
        <v>2</v>
      </c>
      <c r="I5" s="8" t="str">
        <f>'FORM A'!F6</f>
        <v>Ripple Effect 40 (Pty) Ltd</v>
      </c>
    </row>
    <row r="6" spans="1:18" ht="13" x14ac:dyDescent="0.3">
      <c r="B6" s="55"/>
      <c r="C6" s="55"/>
      <c r="E6" s="1"/>
      <c r="F6" s="58"/>
      <c r="I6" s="1"/>
      <c r="J6" s="1"/>
      <c r="K6" s="52"/>
    </row>
    <row r="7" spans="1:18" ht="13" x14ac:dyDescent="0.3">
      <c r="B7" s="55" t="s">
        <v>32</v>
      </c>
      <c r="C7" s="55"/>
      <c r="E7" s="103">
        <f>'FORM A'!C8</f>
        <v>320</v>
      </c>
      <c r="F7" s="581"/>
      <c r="G7" s="52" t="s">
        <v>105</v>
      </c>
      <c r="I7" s="972">
        <f>'FORM A'!F8</f>
        <v>45778</v>
      </c>
      <c r="J7" s="972"/>
    </row>
    <row r="8" spans="1:18" x14ac:dyDescent="0.25">
      <c r="B8" s="1"/>
      <c r="C8" s="1"/>
      <c r="D8" s="1"/>
      <c r="E8" s="1"/>
      <c r="F8" s="58"/>
    </row>
    <row r="9" spans="1:18" x14ac:dyDescent="0.25">
      <c r="B9" s="55" t="s">
        <v>235</v>
      </c>
      <c r="C9" s="55"/>
      <c r="D9" s="1"/>
      <c r="E9" s="1"/>
      <c r="F9" s="58"/>
    </row>
    <row r="10" spans="1:18" ht="13" thickBot="1" x14ac:dyDescent="0.3"/>
    <row r="11" spans="1:18" x14ac:dyDescent="0.25">
      <c r="B11" s="960" t="s">
        <v>257</v>
      </c>
      <c r="C11" s="963" t="s">
        <v>262</v>
      </c>
      <c r="D11" s="963" t="s">
        <v>52</v>
      </c>
      <c r="E11" s="965" t="s">
        <v>53</v>
      </c>
      <c r="F11" s="968" t="s">
        <v>258</v>
      </c>
      <c r="G11" s="952" t="s">
        <v>116</v>
      </c>
      <c r="H11" s="953"/>
      <c r="I11" s="953"/>
      <c r="J11" s="953"/>
      <c r="K11" s="953"/>
      <c r="L11" s="953"/>
      <c r="M11" s="953"/>
      <c r="N11" s="954"/>
      <c r="O11" s="958" t="s">
        <v>260</v>
      </c>
      <c r="P11" s="958" t="s">
        <v>261</v>
      </c>
    </row>
    <row r="12" spans="1:18" x14ac:dyDescent="0.25">
      <c r="B12" s="961"/>
      <c r="C12" s="964"/>
      <c r="D12" s="964"/>
      <c r="E12" s="966"/>
      <c r="F12" s="969"/>
      <c r="G12" s="955"/>
      <c r="H12" s="944"/>
      <c r="I12" s="944"/>
      <c r="J12" s="944"/>
      <c r="K12" s="944"/>
      <c r="L12" s="944"/>
      <c r="M12" s="944"/>
      <c r="N12" s="956"/>
      <c r="O12" s="959"/>
      <c r="P12" s="959"/>
    </row>
    <row r="13" spans="1:18" ht="12" customHeight="1" x14ac:dyDescent="0.25">
      <c r="B13" s="961"/>
      <c r="C13" s="964"/>
      <c r="D13" s="964"/>
      <c r="E13" s="966"/>
      <c r="F13" s="969"/>
      <c r="G13" s="971" t="s">
        <v>110</v>
      </c>
      <c r="H13" s="950" t="s">
        <v>111</v>
      </c>
      <c r="I13" s="950" t="s">
        <v>109</v>
      </c>
      <c r="J13" s="950" t="s">
        <v>112</v>
      </c>
      <c r="K13" s="950" t="s">
        <v>113</v>
      </c>
      <c r="L13" s="950" t="s">
        <v>114</v>
      </c>
      <c r="M13" s="950" t="s">
        <v>115</v>
      </c>
      <c r="N13" s="940" t="s">
        <v>281</v>
      </c>
      <c r="O13" s="959"/>
      <c r="P13" s="959"/>
    </row>
    <row r="14" spans="1:18" ht="15" customHeight="1" x14ac:dyDescent="0.25">
      <c r="B14" s="962"/>
      <c r="C14" s="951"/>
      <c r="D14" s="951"/>
      <c r="E14" s="967"/>
      <c r="F14" s="970"/>
      <c r="G14" s="962"/>
      <c r="H14" s="951"/>
      <c r="I14" s="951"/>
      <c r="J14" s="951"/>
      <c r="K14" s="951"/>
      <c r="L14" s="951"/>
      <c r="M14" s="951"/>
      <c r="N14" s="943"/>
      <c r="O14" s="959"/>
      <c r="P14" s="959"/>
    </row>
    <row r="15" spans="1:18" ht="13" thickBot="1" x14ac:dyDescent="0.3">
      <c r="B15" s="545" t="s">
        <v>20</v>
      </c>
      <c r="C15" s="528">
        <v>2</v>
      </c>
      <c r="D15" s="528">
        <v>3</v>
      </c>
      <c r="E15" s="546">
        <v>4</v>
      </c>
      <c r="F15" s="547">
        <v>5</v>
      </c>
      <c r="G15" s="530">
        <v>6</v>
      </c>
      <c r="H15" s="531">
        <v>7</v>
      </c>
      <c r="I15" s="532">
        <v>8</v>
      </c>
      <c r="J15" s="532">
        <v>9</v>
      </c>
      <c r="K15" s="532">
        <v>10</v>
      </c>
      <c r="L15" s="532">
        <v>11</v>
      </c>
      <c r="M15" s="532">
        <v>12</v>
      </c>
      <c r="N15" s="529">
        <f t="shared" ref="N15" si="0">M15+1</f>
        <v>13</v>
      </c>
      <c r="O15" s="533">
        <v>13</v>
      </c>
      <c r="P15" s="533">
        <v>14</v>
      </c>
      <c r="Q15" t="s">
        <v>402</v>
      </c>
      <c r="R15" t="s">
        <v>403</v>
      </c>
    </row>
    <row r="16" spans="1:18" x14ac:dyDescent="0.25">
      <c r="A16" t="str">
        <f>CONCATENATE(B16,C16)</f>
        <v>10F</v>
      </c>
      <c r="B16" s="721" t="s">
        <v>351</v>
      </c>
      <c r="C16" s="557" t="s">
        <v>264</v>
      </c>
      <c r="D16" s="557" t="s">
        <v>352</v>
      </c>
      <c r="E16" s="722" t="s">
        <v>353</v>
      </c>
      <c r="F16" s="755">
        <v>101.5</v>
      </c>
      <c r="G16" s="758">
        <v>1</v>
      </c>
      <c r="H16" s="724">
        <v>1</v>
      </c>
      <c r="I16" s="724">
        <v>1</v>
      </c>
      <c r="J16" s="724">
        <v>1</v>
      </c>
      <c r="K16" s="724">
        <v>1</v>
      </c>
      <c r="L16" s="724">
        <v>1</v>
      </c>
      <c r="M16" s="725">
        <v>0</v>
      </c>
      <c r="N16" s="725">
        <v>0</v>
      </c>
      <c r="O16" s="762">
        <f>(G16*$G$58)+(H16*$H$58)+(I16*$I$58)+(J16*$J$58)+(K16*$K$58)+(L16*$L$58)+(M16*$M$58)+(N16*$N$58)</f>
        <v>0</v>
      </c>
      <c r="P16" s="765">
        <f>F16*O16</f>
        <v>0</v>
      </c>
      <c r="Q16">
        <f>VLOOKUP(A16,[3]Sheet1!$A$4:$B$43,2,FALSE)</f>
        <v>23</v>
      </c>
      <c r="R16" s="101">
        <f>O16-Q16</f>
        <v>-23</v>
      </c>
    </row>
    <row r="17" spans="1:18" x14ac:dyDescent="0.25">
      <c r="A17" t="str">
        <f t="shared" ref="A17:A55" si="1">CONCATENATE(B17,C17)</f>
        <v>10R</v>
      </c>
      <c r="B17" s="733" t="s">
        <v>351</v>
      </c>
      <c r="C17" s="734" t="s">
        <v>263</v>
      </c>
      <c r="D17" s="734" t="s">
        <v>353</v>
      </c>
      <c r="E17" s="735" t="s">
        <v>352</v>
      </c>
      <c r="F17" s="756">
        <v>101.5</v>
      </c>
      <c r="G17" s="759">
        <v>1</v>
      </c>
      <c r="H17" s="537">
        <v>1</v>
      </c>
      <c r="I17" s="537">
        <v>1</v>
      </c>
      <c r="J17" s="537">
        <v>1</v>
      </c>
      <c r="K17" s="537">
        <v>1</v>
      </c>
      <c r="L17" s="537">
        <v>1</v>
      </c>
      <c r="M17" s="726">
        <v>0</v>
      </c>
      <c r="N17" s="726">
        <v>0</v>
      </c>
      <c r="O17" s="763">
        <f>(G17*$G$58)+(H17*$H$58)+(I17*$I$58)+(J17*$J$58)+(K17*$K$58)+(L17*$L$58)+(M17*$M$58)+(N17*$N$58)</f>
        <v>0</v>
      </c>
      <c r="P17" s="766">
        <f>F17*O17</f>
        <v>0</v>
      </c>
      <c r="Q17">
        <f>VLOOKUP(A17,[3]Sheet1!$A$4:$B$43,2,FALSE)</f>
        <v>23</v>
      </c>
      <c r="R17" s="101">
        <f t="shared" ref="R17:R55" si="2">O17-Q17</f>
        <v>-23</v>
      </c>
    </row>
    <row r="18" spans="1:18" x14ac:dyDescent="0.25">
      <c r="A18" t="str">
        <f t="shared" si="1"/>
        <v>1A.3F</v>
      </c>
      <c r="B18" s="733" t="s">
        <v>354</v>
      </c>
      <c r="C18" s="734" t="s">
        <v>264</v>
      </c>
      <c r="D18" s="734" t="s">
        <v>355</v>
      </c>
      <c r="E18" s="735" t="s">
        <v>356</v>
      </c>
      <c r="F18" s="756">
        <v>73.8</v>
      </c>
      <c r="G18" s="759">
        <v>0</v>
      </c>
      <c r="H18" s="537">
        <v>0</v>
      </c>
      <c r="I18" s="537">
        <v>0</v>
      </c>
      <c r="J18" s="537">
        <v>0</v>
      </c>
      <c r="K18" s="537">
        <v>0</v>
      </c>
      <c r="L18" s="537">
        <v>0</v>
      </c>
      <c r="M18" s="726">
        <v>1</v>
      </c>
      <c r="N18" s="726">
        <v>1</v>
      </c>
      <c r="O18" s="763">
        <f t="shared" ref="O18:O52" si="3">(G18*$G$58)+(H18*$H$58)+(I18*$I$58)+(J18*$J$58)+(K18*$K$58)+(L18*$L$58)+(M18*$M$58)+(N18*$N$58)</f>
        <v>0</v>
      </c>
      <c r="P18" s="766">
        <f t="shared" ref="P18:P55" si="4">F18*O18</f>
        <v>0</v>
      </c>
      <c r="Q18">
        <f>VLOOKUP(A18,[3]Sheet1!$A$4:$B$43,2,FALSE)</f>
        <v>4</v>
      </c>
      <c r="R18" s="101">
        <f t="shared" si="2"/>
        <v>-4</v>
      </c>
    </row>
    <row r="19" spans="1:18" x14ac:dyDescent="0.25">
      <c r="A19" t="str">
        <f t="shared" si="1"/>
        <v>1A.3R</v>
      </c>
      <c r="B19" s="733" t="s">
        <v>354</v>
      </c>
      <c r="C19" s="734" t="s">
        <v>263</v>
      </c>
      <c r="D19" s="734" t="s">
        <v>356</v>
      </c>
      <c r="E19" s="735" t="s">
        <v>355</v>
      </c>
      <c r="F19" s="756">
        <v>73.8</v>
      </c>
      <c r="G19" s="759">
        <v>0</v>
      </c>
      <c r="H19" s="537">
        <v>0</v>
      </c>
      <c r="I19" s="537">
        <v>0</v>
      </c>
      <c r="J19" s="537">
        <v>0</v>
      </c>
      <c r="K19" s="537">
        <v>0</v>
      </c>
      <c r="L19" s="537">
        <v>0</v>
      </c>
      <c r="M19" s="726">
        <v>1</v>
      </c>
      <c r="N19" s="726">
        <v>1</v>
      </c>
      <c r="O19" s="763">
        <f t="shared" si="3"/>
        <v>0</v>
      </c>
      <c r="P19" s="766">
        <f t="shared" si="4"/>
        <v>0</v>
      </c>
      <c r="Q19">
        <f>VLOOKUP(A19,[3]Sheet1!$A$4:$B$43,2,FALSE)</f>
        <v>4</v>
      </c>
      <c r="R19" s="101">
        <f t="shared" si="2"/>
        <v>-4</v>
      </c>
    </row>
    <row r="20" spans="1:18" x14ac:dyDescent="0.25">
      <c r="A20" t="str">
        <f t="shared" si="1"/>
        <v>1A1F</v>
      </c>
      <c r="B20" s="733" t="s">
        <v>357</v>
      </c>
      <c r="C20" s="734" t="s">
        <v>264</v>
      </c>
      <c r="D20" s="734" t="s">
        <v>355</v>
      </c>
      <c r="E20" s="735" t="s">
        <v>356</v>
      </c>
      <c r="F20" s="756">
        <v>81.8</v>
      </c>
      <c r="G20" s="759">
        <v>1</v>
      </c>
      <c r="H20" s="537">
        <v>1</v>
      </c>
      <c r="I20" s="537">
        <v>1</v>
      </c>
      <c r="J20" s="537">
        <v>1</v>
      </c>
      <c r="K20" s="537">
        <v>1</v>
      </c>
      <c r="L20" s="537">
        <v>1</v>
      </c>
      <c r="M20" s="726">
        <v>0</v>
      </c>
      <c r="N20" s="726">
        <v>0</v>
      </c>
      <c r="O20" s="763">
        <f t="shared" si="3"/>
        <v>0</v>
      </c>
      <c r="P20" s="766">
        <f t="shared" si="4"/>
        <v>0</v>
      </c>
      <c r="Q20">
        <f>VLOOKUP(A20,[3]Sheet1!$A$4:$B$43,2,FALSE)</f>
        <v>21</v>
      </c>
      <c r="R20" s="101">
        <f t="shared" si="2"/>
        <v>-21</v>
      </c>
    </row>
    <row r="21" spans="1:18" x14ac:dyDescent="0.25">
      <c r="A21" t="str">
        <f t="shared" si="1"/>
        <v>1A1R</v>
      </c>
      <c r="B21" s="733" t="s">
        <v>357</v>
      </c>
      <c r="C21" s="734" t="s">
        <v>263</v>
      </c>
      <c r="D21" s="734" t="s">
        <v>356</v>
      </c>
      <c r="E21" s="735" t="s">
        <v>355</v>
      </c>
      <c r="F21" s="756">
        <v>90</v>
      </c>
      <c r="G21" s="759">
        <v>1</v>
      </c>
      <c r="H21" s="537">
        <v>1</v>
      </c>
      <c r="I21" s="537">
        <v>1</v>
      </c>
      <c r="J21" s="537">
        <v>1</v>
      </c>
      <c r="K21" s="537">
        <v>1</v>
      </c>
      <c r="L21" s="537">
        <v>1</v>
      </c>
      <c r="M21" s="726">
        <v>0</v>
      </c>
      <c r="N21" s="726">
        <v>0</v>
      </c>
      <c r="O21" s="763">
        <f t="shared" si="3"/>
        <v>0</v>
      </c>
      <c r="P21" s="766">
        <f t="shared" si="4"/>
        <v>0</v>
      </c>
      <c r="Q21">
        <f>VLOOKUP(A21,[3]Sheet1!$A$4:$B$43,2,FALSE)</f>
        <v>17</v>
      </c>
      <c r="R21" s="101">
        <f t="shared" si="2"/>
        <v>-17</v>
      </c>
    </row>
    <row r="22" spans="1:18" x14ac:dyDescent="0.25">
      <c r="A22" t="str">
        <f t="shared" si="1"/>
        <v>1A4F</v>
      </c>
      <c r="B22" s="733" t="s">
        <v>358</v>
      </c>
      <c r="C22" s="734" t="s">
        <v>264</v>
      </c>
      <c r="D22" s="734" t="s">
        <v>359</v>
      </c>
      <c r="E22" s="735" t="s">
        <v>356</v>
      </c>
      <c r="F22" s="756">
        <v>35.799999999999997</v>
      </c>
      <c r="G22" s="759">
        <v>1</v>
      </c>
      <c r="H22" s="537">
        <v>1</v>
      </c>
      <c r="I22" s="537">
        <v>1</v>
      </c>
      <c r="J22" s="537">
        <v>1</v>
      </c>
      <c r="K22" s="537">
        <v>1</v>
      </c>
      <c r="L22" s="537">
        <v>1</v>
      </c>
      <c r="M22" s="726">
        <v>0</v>
      </c>
      <c r="N22" s="726">
        <v>0</v>
      </c>
      <c r="O22" s="763">
        <f t="shared" si="3"/>
        <v>0</v>
      </c>
      <c r="P22" s="766">
        <f t="shared" si="4"/>
        <v>0</v>
      </c>
      <c r="Q22">
        <f>VLOOKUP(A22,[3]Sheet1!$A$4:$B$43,2,FALSE)</f>
        <v>22</v>
      </c>
      <c r="R22" s="101">
        <f t="shared" si="2"/>
        <v>-22</v>
      </c>
    </row>
    <row r="23" spans="1:18" x14ac:dyDescent="0.25">
      <c r="A23" t="str">
        <f t="shared" si="1"/>
        <v>1A4R</v>
      </c>
      <c r="B23" s="733" t="s">
        <v>358</v>
      </c>
      <c r="C23" s="734" t="s">
        <v>263</v>
      </c>
      <c r="D23" s="734" t="s">
        <v>356</v>
      </c>
      <c r="E23" s="735" t="s">
        <v>359</v>
      </c>
      <c r="F23" s="756">
        <v>35.799999999999997</v>
      </c>
      <c r="G23" s="759">
        <v>1</v>
      </c>
      <c r="H23" s="537">
        <v>1</v>
      </c>
      <c r="I23" s="537">
        <v>1</v>
      </c>
      <c r="J23" s="537">
        <v>1</v>
      </c>
      <c r="K23" s="537">
        <v>1</v>
      </c>
      <c r="L23" s="537">
        <v>1</v>
      </c>
      <c r="M23" s="726">
        <v>0</v>
      </c>
      <c r="N23" s="726">
        <v>0</v>
      </c>
      <c r="O23" s="763">
        <f t="shared" si="3"/>
        <v>0</v>
      </c>
      <c r="P23" s="766">
        <f t="shared" si="4"/>
        <v>0</v>
      </c>
      <c r="Q23">
        <f>VLOOKUP(A23,[3]Sheet1!$A$4:$B$43,2,FALSE)</f>
        <v>23</v>
      </c>
      <c r="R23" s="101">
        <f t="shared" si="2"/>
        <v>-23</v>
      </c>
    </row>
    <row r="24" spans="1:18" x14ac:dyDescent="0.25">
      <c r="A24" t="str">
        <f t="shared" si="1"/>
        <v>1B.1F</v>
      </c>
      <c r="B24" s="733" t="s">
        <v>360</v>
      </c>
      <c r="C24" s="734" t="s">
        <v>264</v>
      </c>
      <c r="D24" s="734" t="s">
        <v>355</v>
      </c>
      <c r="E24" s="735" t="s">
        <v>356</v>
      </c>
      <c r="F24" s="756">
        <v>90</v>
      </c>
      <c r="G24" s="759">
        <v>1</v>
      </c>
      <c r="H24" s="537">
        <v>1</v>
      </c>
      <c r="I24" s="537">
        <v>1</v>
      </c>
      <c r="J24" s="537">
        <v>1</v>
      </c>
      <c r="K24" s="537">
        <v>1</v>
      </c>
      <c r="L24" s="537">
        <v>1</v>
      </c>
      <c r="M24" s="726">
        <v>1</v>
      </c>
      <c r="N24" s="726">
        <v>1</v>
      </c>
      <c r="O24" s="763">
        <f t="shared" si="3"/>
        <v>0</v>
      </c>
      <c r="P24" s="766">
        <f t="shared" si="4"/>
        <v>0</v>
      </c>
      <c r="Q24">
        <f>VLOOKUP(A24,[3]Sheet1!$A$4:$B$43,2,FALSE)</f>
        <v>21</v>
      </c>
      <c r="R24" s="101">
        <f t="shared" si="2"/>
        <v>-21</v>
      </c>
    </row>
    <row r="25" spans="1:18" x14ac:dyDescent="0.25">
      <c r="A25" t="str">
        <f t="shared" si="1"/>
        <v>1B.1R</v>
      </c>
      <c r="B25" s="733" t="s">
        <v>360</v>
      </c>
      <c r="C25" s="734" t="s">
        <v>263</v>
      </c>
      <c r="D25" s="734" t="s">
        <v>356</v>
      </c>
      <c r="E25" s="735" t="s">
        <v>355</v>
      </c>
      <c r="F25" s="756">
        <v>90</v>
      </c>
      <c r="G25" s="759">
        <v>1</v>
      </c>
      <c r="H25" s="537">
        <v>1</v>
      </c>
      <c r="I25" s="537">
        <v>1</v>
      </c>
      <c r="J25" s="537">
        <v>1</v>
      </c>
      <c r="K25" s="537">
        <v>1</v>
      </c>
      <c r="L25" s="537">
        <v>1</v>
      </c>
      <c r="M25" s="726">
        <v>1</v>
      </c>
      <c r="N25" s="726">
        <v>1</v>
      </c>
      <c r="O25" s="763">
        <f t="shared" si="3"/>
        <v>0</v>
      </c>
      <c r="P25" s="766">
        <f t="shared" si="4"/>
        <v>0</v>
      </c>
      <c r="Q25">
        <f>VLOOKUP(A25,[3]Sheet1!$A$4:$B$43,2,FALSE)</f>
        <v>27</v>
      </c>
      <c r="R25" s="101">
        <f t="shared" si="2"/>
        <v>-27</v>
      </c>
    </row>
    <row r="26" spans="1:18" x14ac:dyDescent="0.25">
      <c r="A26" t="str">
        <f t="shared" si="1"/>
        <v>1B2F</v>
      </c>
      <c r="B26" s="733" t="s">
        <v>361</v>
      </c>
      <c r="C26" s="734" t="s">
        <v>264</v>
      </c>
      <c r="D26" s="734" t="s">
        <v>355</v>
      </c>
      <c r="E26" s="735" t="s">
        <v>356</v>
      </c>
      <c r="F26" s="756">
        <v>85.3</v>
      </c>
      <c r="G26" s="759">
        <v>1</v>
      </c>
      <c r="H26" s="537">
        <v>1</v>
      </c>
      <c r="I26" s="537">
        <v>1</v>
      </c>
      <c r="J26" s="537">
        <v>1</v>
      </c>
      <c r="K26" s="537">
        <v>1</v>
      </c>
      <c r="L26" s="537">
        <v>1</v>
      </c>
      <c r="M26" s="726">
        <v>0</v>
      </c>
      <c r="N26" s="726">
        <v>0</v>
      </c>
      <c r="O26" s="763">
        <f t="shared" si="3"/>
        <v>0</v>
      </c>
      <c r="P26" s="766">
        <f t="shared" si="4"/>
        <v>0</v>
      </c>
      <c r="Q26">
        <f>VLOOKUP(A26,[3]Sheet1!$A$4:$B$43,2,FALSE)</f>
        <v>23</v>
      </c>
      <c r="R26" s="101">
        <f t="shared" si="2"/>
        <v>-23</v>
      </c>
    </row>
    <row r="27" spans="1:18" x14ac:dyDescent="0.25">
      <c r="A27" t="str">
        <f t="shared" si="1"/>
        <v>1B2R</v>
      </c>
      <c r="B27" s="733" t="s">
        <v>361</v>
      </c>
      <c r="C27" s="734" t="s">
        <v>263</v>
      </c>
      <c r="D27" s="734" t="s">
        <v>356</v>
      </c>
      <c r="E27" s="735" t="s">
        <v>355</v>
      </c>
      <c r="F27" s="756">
        <v>85.3</v>
      </c>
      <c r="G27" s="759">
        <v>1</v>
      </c>
      <c r="H27" s="537">
        <v>1</v>
      </c>
      <c r="I27" s="537">
        <v>1</v>
      </c>
      <c r="J27" s="537">
        <v>1</v>
      </c>
      <c r="K27" s="537">
        <v>1</v>
      </c>
      <c r="L27" s="537">
        <v>1</v>
      </c>
      <c r="M27" s="726">
        <v>0</v>
      </c>
      <c r="N27" s="726">
        <v>0</v>
      </c>
      <c r="O27" s="763">
        <f t="shared" si="3"/>
        <v>0</v>
      </c>
      <c r="P27" s="766">
        <f t="shared" si="4"/>
        <v>0</v>
      </c>
      <c r="Q27">
        <f>VLOOKUP(A27,[3]Sheet1!$A$4:$B$43,2,FALSE)</f>
        <v>22</v>
      </c>
      <c r="R27" s="101">
        <f t="shared" si="2"/>
        <v>-22</v>
      </c>
    </row>
    <row r="28" spans="1:18" x14ac:dyDescent="0.25">
      <c r="A28" t="str">
        <f t="shared" si="1"/>
        <v>1C1F</v>
      </c>
      <c r="B28" s="733" t="s">
        <v>362</v>
      </c>
      <c r="C28" s="734" t="s">
        <v>264</v>
      </c>
      <c r="D28" s="734" t="s">
        <v>355</v>
      </c>
      <c r="E28" s="735" t="s">
        <v>363</v>
      </c>
      <c r="F28" s="756">
        <v>55.5</v>
      </c>
      <c r="G28" s="759">
        <v>1</v>
      </c>
      <c r="H28" s="537">
        <v>1</v>
      </c>
      <c r="I28" s="537">
        <v>1</v>
      </c>
      <c r="J28" s="537">
        <v>1</v>
      </c>
      <c r="K28" s="537">
        <v>1</v>
      </c>
      <c r="L28" s="537">
        <v>1</v>
      </c>
      <c r="M28" s="726">
        <v>0</v>
      </c>
      <c r="N28" s="726">
        <v>0</v>
      </c>
      <c r="O28" s="763">
        <f t="shared" si="3"/>
        <v>0</v>
      </c>
      <c r="P28" s="766">
        <f t="shared" si="4"/>
        <v>0</v>
      </c>
      <c r="Q28">
        <f>VLOOKUP(A28,[3]Sheet1!$A$4:$B$43,2,FALSE)</f>
        <v>24</v>
      </c>
      <c r="R28" s="101">
        <f t="shared" si="2"/>
        <v>-24</v>
      </c>
    </row>
    <row r="29" spans="1:18" x14ac:dyDescent="0.25">
      <c r="A29" t="str">
        <f t="shared" si="1"/>
        <v>1C1R</v>
      </c>
      <c r="B29" s="733" t="s">
        <v>362</v>
      </c>
      <c r="C29" s="734" t="s">
        <v>263</v>
      </c>
      <c r="D29" s="734" t="s">
        <v>363</v>
      </c>
      <c r="E29" s="735" t="s">
        <v>355</v>
      </c>
      <c r="F29" s="756">
        <v>55.5</v>
      </c>
      <c r="G29" s="759">
        <v>1</v>
      </c>
      <c r="H29" s="537">
        <v>1</v>
      </c>
      <c r="I29" s="537">
        <v>1</v>
      </c>
      <c r="J29" s="537">
        <v>1</v>
      </c>
      <c r="K29" s="537">
        <v>1</v>
      </c>
      <c r="L29" s="537">
        <v>1</v>
      </c>
      <c r="M29" s="726">
        <v>0</v>
      </c>
      <c r="N29" s="726">
        <v>0</v>
      </c>
      <c r="O29" s="763">
        <f t="shared" si="3"/>
        <v>0</v>
      </c>
      <c r="P29" s="766">
        <f t="shared" si="4"/>
        <v>0</v>
      </c>
      <c r="Q29">
        <f>VLOOKUP(A29,[3]Sheet1!$A$4:$B$43,2,FALSE)</f>
        <v>24</v>
      </c>
      <c r="R29" s="101">
        <f t="shared" si="2"/>
        <v>-24</v>
      </c>
    </row>
    <row r="30" spans="1:18" x14ac:dyDescent="0.25">
      <c r="A30" t="str">
        <f t="shared" si="1"/>
        <v>1C2F</v>
      </c>
      <c r="B30" s="733" t="s">
        <v>364</v>
      </c>
      <c r="C30" s="734" t="s">
        <v>264</v>
      </c>
      <c r="D30" s="734" t="s">
        <v>355</v>
      </c>
      <c r="E30" s="735" t="s">
        <v>363</v>
      </c>
      <c r="F30" s="756">
        <v>50.8</v>
      </c>
      <c r="G30" s="759">
        <v>1</v>
      </c>
      <c r="H30" s="537">
        <v>1</v>
      </c>
      <c r="I30" s="537">
        <v>1</v>
      </c>
      <c r="J30" s="537">
        <v>1</v>
      </c>
      <c r="K30" s="537">
        <v>1</v>
      </c>
      <c r="L30" s="537">
        <v>1</v>
      </c>
      <c r="M30" s="726">
        <v>0</v>
      </c>
      <c r="N30" s="726">
        <v>0</v>
      </c>
      <c r="O30" s="763">
        <f t="shared" si="3"/>
        <v>0</v>
      </c>
      <c r="P30" s="766">
        <f t="shared" si="4"/>
        <v>0</v>
      </c>
      <c r="Q30">
        <f>VLOOKUP(A30,[3]Sheet1!$A$4:$B$43,2,FALSE)</f>
        <v>24</v>
      </c>
      <c r="R30" s="101">
        <f t="shared" si="2"/>
        <v>-24</v>
      </c>
    </row>
    <row r="31" spans="1:18" x14ac:dyDescent="0.25">
      <c r="A31" t="str">
        <f t="shared" si="1"/>
        <v>1C2R</v>
      </c>
      <c r="B31" s="733" t="s">
        <v>364</v>
      </c>
      <c r="C31" s="734" t="s">
        <v>263</v>
      </c>
      <c r="D31" s="734" t="s">
        <v>363</v>
      </c>
      <c r="E31" s="735" t="s">
        <v>355</v>
      </c>
      <c r="F31" s="756">
        <v>50.8</v>
      </c>
      <c r="G31" s="759">
        <v>1</v>
      </c>
      <c r="H31" s="537">
        <v>1</v>
      </c>
      <c r="I31" s="537">
        <v>1</v>
      </c>
      <c r="J31" s="537">
        <v>1</v>
      </c>
      <c r="K31" s="537">
        <v>1</v>
      </c>
      <c r="L31" s="537">
        <v>1</v>
      </c>
      <c r="M31" s="726">
        <v>0</v>
      </c>
      <c r="N31" s="726">
        <v>0</v>
      </c>
      <c r="O31" s="763">
        <f t="shared" si="3"/>
        <v>0</v>
      </c>
      <c r="P31" s="766">
        <f t="shared" si="4"/>
        <v>0</v>
      </c>
      <c r="Q31">
        <f>VLOOKUP(A31,[3]Sheet1!$A$4:$B$43,2,FALSE)</f>
        <v>24</v>
      </c>
      <c r="R31" s="101">
        <f t="shared" si="2"/>
        <v>-24</v>
      </c>
    </row>
    <row r="32" spans="1:18" x14ac:dyDescent="0.25">
      <c r="A32" t="str">
        <f t="shared" si="1"/>
        <v>1DF</v>
      </c>
      <c r="B32" s="733" t="s">
        <v>365</v>
      </c>
      <c r="C32" s="734" t="s">
        <v>264</v>
      </c>
      <c r="D32" s="734" t="s">
        <v>355</v>
      </c>
      <c r="E32" s="735" t="s">
        <v>366</v>
      </c>
      <c r="F32" s="756">
        <v>30.5</v>
      </c>
      <c r="G32" s="759">
        <v>1</v>
      </c>
      <c r="H32" s="537">
        <v>1</v>
      </c>
      <c r="I32" s="537">
        <v>1</v>
      </c>
      <c r="J32" s="537">
        <v>1</v>
      </c>
      <c r="K32" s="537">
        <v>1</v>
      </c>
      <c r="L32" s="537">
        <v>0</v>
      </c>
      <c r="M32" s="726">
        <v>0</v>
      </c>
      <c r="N32" s="726">
        <v>0</v>
      </c>
      <c r="O32" s="763">
        <f t="shared" si="3"/>
        <v>0</v>
      </c>
      <c r="P32" s="766">
        <f t="shared" si="4"/>
        <v>0</v>
      </c>
      <c r="Q32">
        <f>VLOOKUP(A32,[3]Sheet1!$A$4:$B$43,2,FALSE)</f>
        <v>20</v>
      </c>
      <c r="R32" s="101">
        <f t="shared" si="2"/>
        <v>-20</v>
      </c>
    </row>
    <row r="33" spans="1:18" x14ac:dyDescent="0.25">
      <c r="A33" t="str">
        <f t="shared" si="1"/>
        <v>1DR</v>
      </c>
      <c r="B33" s="733" t="s">
        <v>365</v>
      </c>
      <c r="C33" s="734" t="s">
        <v>263</v>
      </c>
      <c r="D33" s="734" t="s">
        <v>366</v>
      </c>
      <c r="E33" s="735" t="s">
        <v>355</v>
      </c>
      <c r="F33" s="756">
        <v>30.5</v>
      </c>
      <c r="G33" s="759">
        <v>1</v>
      </c>
      <c r="H33" s="537">
        <v>1</v>
      </c>
      <c r="I33" s="537">
        <v>1</v>
      </c>
      <c r="J33" s="537">
        <v>1</v>
      </c>
      <c r="K33" s="537">
        <v>1</v>
      </c>
      <c r="L33" s="537">
        <v>0</v>
      </c>
      <c r="M33" s="726">
        <v>0</v>
      </c>
      <c r="N33" s="726">
        <v>0</v>
      </c>
      <c r="O33" s="763">
        <f t="shared" si="3"/>
        <v>0</v>
      </c>
      <c r="P33" s="766">
        <f t="shared" si="4"/>
        <v>0</v>
      </c>
      <c r="Q33">
        <f>VLOOKUP(A33,[3]Sheet1!$A$4:$B$43,2,FALSE)</f>
        <v>20</v>
      </c>
      <c r="R33" s="101">
        <f t="shared" si="2"/>
        <v>-20</v>
      </c>
    </row>
    <row r="34" spans="1:18" x14ac:dyDescent="0.25">
      <c r="A34" t="str">
        <f t="shared" si="1"/>
        <v>2F</v>
      </c>
      <c r="B34" s="733" t="s">
        <v>367</v>
      </c>
      <c r="C34" s="734" t="s">
        <v>264</v>
      </c>
      <c r="D34" s="734" t="s">
        <v>368</v>
      </c>
      <c r="E34" s="735" t="s">
        <v>355</v>
      </c>
      <c r="F34" s="756">
        <v>50.2</v>
      </c>
      <c r="G34" s="759">
        <v>1</v>
      </c>
      <c r="H34" s="537">
        <v>1</v>
      </c>
      <c r="I34" s="537">
        <v>1</v>
      </c>
      <c r="J34" s="537">
        <v>1</v>
      </c>
      <c r="K34" s="537">
        <v>1</v>
      </c>
      <c r="L34" s="537">
        <v>1</v>
      </c>
      <c r="M34" s="726">
        <v>0</v>
      </c>
      <c r="N34" s="726">
        <v>0</v>
      </c>
      <c r="O34" s="763">
        <f t="shared" si="3"/>
        <v>0</v>
      </c>
      <c r="P34" s="766">
        <f t="shared" si="4"/>
        <v>0</v>
      </c>
      <c r="Q34">
        <f>VLOOKUP(A34,[3]Sheet1!$A$4:$B$43,2,FALSE)</f>
        <v>24</v>
      </c>
      <c r="R34" s="101">
        <f t="shared" si="2"/>
        <v>-24</v>
      </c>
    </row>
    <row r="35" spans="1:18" x14ac:dyDescent="0.25">
      <c r="A35" t="str">
        <f t="shared" si="1"/>
        <v>2R</v>
      </c>
      <c r="B35" s="733" t="s">
        <v>367</v>
      </c>
      <c r="C35" s="734" t="s">
        <v>263</v>
      </c>
      <c r="D35" s="734" t="s">
        <v>355</v>
      </c>
      <c r="E35" s="735" t="s">
        <v>368</v>
      </c>
      <c r="F35" s="756">
        <v>50.2</v>
      </c>
      <c r="G35" s="759">
        <v>1</v>
      </c>
      <c r="H35" s="537">
        <v>1</v>
      </c>
      <c r="I35" s="537">
        <v>1</v>
      </c>
      <c r="J35" s="537">
        <v>1</v>
      </c>
      <c r="K35" s="537">
        <v>1</v>
      </c>
      <c r="L35" s="537">
        <v>1</v>
      </c>
      <c r="M35" s="726">
        <v>0</v>
      </c>
      <c r="N35" s="726">
        <v>0</v>
      </c>
      <c r="O35" s="763">
        <f t="shared" si="3"/>
        <v>0</v>
      </c>
      <c r="P35" s="766">
        <f t="shared" si="4"/>
        <v>0</v>
      </c>
      <c r="Q35">
        <f>VLOOKUP(A35,[3]Sheet1!$A$4:$B$43,2,FALSE)</f>
        <v>24</v>
      </c>
      <c r="R35" s="101">
        <f t="shared" si="2"/>
        <v>-24</v>
      </c>
    </row>
    <row r="36" spans="1:18" x14ac:dyDescent="0.25">
      <c r="A36" t="str">
        <f t="shared" si="1"/>
        <v>3F</v>
      </c>
      <c r="B36" s="733" t="s">
        <v>369</v>
      </c>
      <c r="C36" s="734" t="s">
        <v>264</v>
      </c>
      <c r="D36" s="734" t="s">
        <v>370</v>
      </c>
      <c r="E36" s="735" t="s">
        <v>355</v>
      </c>
      <c r="F36" s="756">
        <v>80.2</v>
      </c>
      <c r="G36" s="759">
        <v>1</v>
      </c>
      <c r="H36" s="537">
        <v>1</v>
      </c>
      <c r="I36" s="537">
        <v>1</v>
      </c>
      <c r="J36" s="537">
        <v>1</v>
      </c>
      <c r="K36" s="537">
        <v>1</v>
      </c>
      <c r="L36" s="537">
        <v>1</v>
      </c>
      <c r="M36" s="726">
        <v>0</v>
      </c>
      <c r="N36" s="726">
        <v>0</v>
      </c>
      <c r="O36" s="763">
        <f t="shared" si="3"/>
        <v>0</v>
      </c>
      <c r="P36" s="766">
        <f t="shared" si="4"/>
        <v>0</v>
      </c>
      <c r="Q36">
        <f>VLOOKUP(A36,[3]Sheet1!$A$4:$B$43,2,FALSE)</f>
        <v>22</v>
      </c>
      <c r="R36" s="101">
        <f t="shared" si="2"/>
        <v>-22</v>
      </c>
    </row>
    <row r="37" spans="1:18" x14ac:dyDescent="0.25">
      <c r="A37" t="str">
        <f t="shared" si="1"/>
        <v>3R</v>
      </c>
      <c r="B37" s="733" t="s">
        <v>369</v>
      </c>
      <c r="C37" s="734" t="s">
        <v>263</v>
      </c>
      <c r="D37" s="734" t="s">
        <v>355</v>
      </c>
      <c r="E37" s="735" t="s">
        <v>370</v>
      </c>
      <c r="F37" s="756">
        <v>80.2</v>
      </c>
      <c r="G37" s="759">
        <v>1</v>
      </c>
      <c r="H37" s="537">
        <v>1</v>
      </c>
      <c r="I37" s="537">
        <v>1</v>
      </c>
      <c r="J37" s="537">
        <v>1</v>
      </c>
      <c r="K37" s="537">
        <v>1</v>
      </c>
      <c r="L37" s="537">
        <v>1</v>
      </c>
      <c r="M37" s="726">
        <v>0</v>
      </c>
      <c r="N37" s="726">
        <v>0</v>
      </c>
      <c r="O37" s="763">
        <f t="shared" si="3"/>
        <v>0</v>
      </c>
      <c r="P37" s="766">
        <f t="shared" si="4"/>
        <v>0</v>
      </c>
      <c r="Q37">
        <f>VLOOKUP(A37,[3]Sheet1!$A$4:$B$43,2,FALSE)</f>
        <v>23</v>
      </c>
      <c r="R37" s="101">
        <f t="shared" si="2"/>
        <v>-23</v>
      </c>
    </row>
    <row r="38" spans="1:18" x14ac:dyDescent="0.25">
      <c r="A38" t="str">
        <f t="shared" si="1"/>
        <v>5F</v>
      </c>
      <c r="B38" s="733" t="s">
        <v>371</v>
      </c>
      <c r="C38" s="734" t="s">
        <v>264</v>
      </c>
      <c r="D38" s="734" t="s">
        <v>372</v>
      </c>
      <c r="E38" s="735" t="s">
        <v>356</v>
      </c>
      <c r="F38" s="756">
        <v>117</v>
      </c>
      <c r="G38" s="759">
        <v>1</v>
      </c>
      <c r="H38" s="537">
        <v>1</v>
      </c>
      <c r="I38" s="537">
        <v>1</v>
      </c>
      <c r="J38" s="537">
        <v>1</v>
      </c>
      <c r="K38" s="537">
        <v>1</v>
      </c>
      <c r="L38" s="537">
        <v>1</v>
      </c>
      <c r="M38" s="726">
        <v>0</v>
      </c>
      <c r="N38" s="726">
        <v>0</v>
      </c>
      <c r="O38" s="763">
        <f t="shared" si="3"/>
        <v>0</v>
      </c>
      <c r="P38" s="766">
        <f t="shared" si="4"/>
        <v>0</v>
      </c>
      <c r="Q38">
        <f>VLOOKUP(A38,[3]Sheet1!$A$4:$B$43,2,FALSE)</f>
        <v>22</v>
      </c>
      <c r="R38" s="101">
        <f t="shared" si="2"/>
        <v>-22</v>
      </c>
    </row>
    <row r="39" spans="1:18" x14ac:dyDescent="0.25">
      <c r="A39" t="str">
        <f t="shared" si="1"/>
        <v>5R</v>
      </c>
      <c r="B39" s="733" t="s">
        <v>371</v>
      </c>
      <c r="C39" s="734" t="s">
        <v>263</v>
      </c>
      <c r="D39" s="734" t="s">
        <v>356</v>
      </c>
      <c r="E39" s="735" t="s">
        <v>372</v>
      </c>
      <c r="F39" s="756">
        <v>117</v>
      </c>
      <c r="G39" s="759">
        <v>1</v>
      </c>
      <c r="H39" s="537">
        <v>1</v>
      </c>
      <c r="I39" s="537">
        <v>1</v>
      </c>
      <c r="J39" s="537">
        <v>1</v>
      </c>
      <c r="K39" s="537">
        <v>1</v>
      </c>
      <c r="L39" s="537">
        <v>1</v>
      </c>
      <c r="M39" s="726">
        <v>0</v>
      </c>
      <c r="N39" s="726">
        <v>0</v>
      </c>
      <c r="O39" s="763">
        <f t="shared" si="3"/>
        <v>0</v>
      </c>
      <c r="P39" s="766">
        <f t="shared" si="4"/>
        <v>0</v>
      </c>
      <c r="Q39">
        <f>VLOOKUP(A39,[3]Sheet1!$A$4:$B$43,2,FALSE)</f>
        <v>23</v>
      </c>
      <c r="R39" s="101">
        <f t="shared" si="2"/>
        <v>-23</v>
      </c>
    </row>
    <row r="40" spans="1:18" x14ac:dyDescent="0.25">
      <c r="A40" t="str">
        <f t="shared" si="1"/>
        <v>6AF</v>
      </c>
      <c r="B40" s="733" t="s">
        <v>373</v>
      </c>
      <c r="C40" s="734" t="s">
        <v>264</v>
      </c>
      <c r="D40" s="734" t="s">
        <v>374</v>
      </c>
      <c r="E40" s="735" t="s">
        <v>356</v>
      </c>
      <c r="F40" s="756">
        <v>149.9</v>
      </c>
      <c r="G40" s="759">
        <v>1</v>
      </c>
      <c r="H40" s="537">
        <v>1</v>
      </c>
      <c r="I40" s="537">
        <v>1</v>
      </c>
      <c r="J40" s="537">
        <v>1</v>
      </c>
      <c r="K40" s="537">
        <v>1</v>
      </c>
      <c r="L40" s="537">
        <v>1</v>
      </c>
      <c r="M40" s="726">
        <v>2</v>
      </c>
      <c r="N40" s="726">
        <v>2</v>
      </c>
      <c r="O40" s="763">
        <f t="shared" si="3"/>
        <v>0</v>
      </c>
      <c r="P40" s="766">
        <f t="shared" si="4"/>
        <v>0</v>
      </c>
      <c r="Q40">
        <f>VLOOKUP(A40,[3]Sheet1!$A$4:$B$43,2,FALSE)</f>
        <v>26</v>
      </c>
      <c r="R40" s="101">
        <f t="shared" si="2"/>
        <v>-26</v>
      </c>
    </row>
    <row r="41" spans="1:18" x14ac:dyDescent="0.25">
      <c r="A41" t="str">
        <f t="shared" si="1"/>
        <v>6AR</v>
      </c>
      <c r="B41" s="733" t="s">
        <v>373</v>
      </c>
      <c r="C41" s="734" t="s">
        <v>263</v>
      </c>
      <c r="D41" s="734" t="s">
        <v>356</v>
      </c>
      <c r="E41" s="735" t="s">
        <v>374</v>
      </c>
      <c r="F41" s="756">
        <v>149.9</v>
      </c>
      <c r="G41" s="759">
        <v>1</v>
      </c>
      <c r="H41" s="537">
        <v>1</v>
      </c>
      <c r="I41" s="537">
        <v>1</v>
      </c>
      <c r="J41" s="537">
        <v>1</v>
      </c>
      <c r="K41" s="537">
        <v>1</v>
      </c>
      <c r="L41" s="537">
        <v>1</v>
      </c>
      <c r="M41" s="726">
        <v>0</v>
      </c>
      <c r="N41" s="726">
        <v>0</v>
      </c>
      <c r="O41" s="763">
        <f t="shared" si="3"/>
        <v>0</v>
      </c>
      <c r="P41" s="766">
        <f t="shared" si="4"/>
        <v>0</v>
      </c>
      <c r="Q41">
        <f>VLOOKUP(A41,[3]Sheet1!$A$4:$B$43,2,FALSE)</f>
        <v>23</v>
      </c>
      <c r="R41" s="101">
        <f t="shared" si="2"/>
        <v>-23</v>
      </c>
    </row>
    <row r="42" spans="1:18" x14ac:dyDescent="0.25">
      <c r="A42" t="str">
        <f t="shared" si="1"/>
        <v>6BF</v>
      </c>
      <c r="B42" s="733" t="s">
        <v>375</v>
      </c>
      <c r="C42" s="734" t="s">
        <v>264</v>
      </c>
      <c r="D42" s="734" t="s">
        <v>376</v>
      </c>
      <c r="E42" s="735" t="s">
        <v>356</v>
      </c>
      <c r="F42" s="756">
        <v>97.5</v>
      </c>
      <c r="G42" s="759">
        <v>1</v>
      </c>
      <c r="H42" s="537">
        <v>1</v>
      </c>
      <c r="I42" s="537">
        <v>1</v>
      </c>
      <c r="J42" s="537">
        <v>1</v>
      </c>
      <c r="K42" s="537">
        <v>1</v>
      </c>
      <c r="L42" s="537">
        <v>0</v>
      </c>
      <c r="M42" s="726">
        <v>0</v>
      </c>
      <c r="N42" s="726">
        <v>0</v>
      </c>
      <c r="O42" s="763">
        <f t="shared" si="3"/>
        <v>0</v>
      </c>
      <c r="P42" s="766">
        <f t="shared" si="4"/>
        <v>0</v>
      </c>
      <c r="Q42">
        <f>VLOOKUP(A42,[3]Sheet1!$A$4:$B$43,2,FALSE)</f>
        <v>4</v>
      </c>
      <c r="R42" s="101">
        <f t="shared" si="2"/>
        <v>-4</v>
      </c>
    </row>
    <row r="43" spans="1:18" x14ac:dyDescent="0.25">
      <c r="A43" t="str">
        <f t="shared" si="1"/>
        <v>6BR</v>
      </c>
      <c r="B43" s="733" t="s">
        <v>375</v>
      </c>
      <c r="C43" s="734" t="s">
        <v>263</v>
      </c>
      <c r="D43" s="734" t="s">
        <v>356</v>
      </c>
      <c r="E43" s="735" t="s">
        <v>376</v>
      </c>
      <c r="F43" s="756">
        <v>97.5</v>
      </c>
      <c r="G43" s="759">
        <v>1</v>
      </c>
      <c r="H43" s="537">
        <v>1</v>
      </c>
      <c r="I43" s="537">
        <v>1</v>
      </c>
      <c r="J43" s="537">
        <v>1</v>
      </c>
      <c r="K43" s="537">
        <v>1</v>
      </c>
      <c r="L43" s="537">
        <v>0</v>
      </c>
      <c r="M43" s="726">
        <v>1</v>
      </c>
      <c r="N43" s="726">
        <v>1</v>
      </c>
      <c r="O43" s="763">
        <f t="shared" si="3"/>
        <v>0</v>
      </c>
      <c r="P43" s="766">
        <f t="shared" si="4"/>
        <v>0</v>
      </c>
      <c r="Q43">
        <f>VLOOKUP(A43,[3]Sheet1!$A$4:$B$43,2,FALSE)</f>
        <v>5</v>
      </c>
      <c r="R43" s="101">
        <f t="shared" si="2"/>
        <v>-5</v>
      </c>
    </row>
    <row r="44" spans="1:18" x14ac:dyDescent="0.25">
      <c r="A44" t="str">
        <f t="shared" si="1"/>
        <v>6CF</v>
      </c>
      <c r="B44" s="733" t="s">
        <v>377</v>
      </c>
      <c r="C44" s="734" t="s">
        <v>264</v>
      </c>
      <c r="D44" s="734" t="s">
        <v>363</v>
      </c>
      <c r="E44" s="735" t="s">
        <v>356</v>
      </c>
      <c r="F44" s="756">
        <v>41</v>
      </c>
      <c r="G44" s="759">
        <v>1</v>
      </c>
      <c r="H44" s="537">
        <v>1</v>
      </c>
      <c r="I44" s="537">
        <v>1</v>
      </c>
      <c r="J44" s="537">
        <v>1</v>
      </c>
      <c r="K44" s="537">
        <v>1</v>
      </c>
      <c r="L44" s="537">
        <v>1</v>
      </c>
      <c r="M44" s="726">
        <v>0</v>
      </c>
      <c r="N44" s="726">
        <v>0</v>
      </c>
      <c r="O44" s="763">
        <f t="shared" si="3"/>
        <v>0</v>
      </c>
      <c r="P44" s="766">
        <f t="shared" si="4"/>
        <v>0</v>
      </c>
      <c r="Q44">
        <f>VLOOKUP(A44,[3]Sheet1!$A$4:$B$43,2,FALSE)</f>
        <v>22</v>
      </c>
      <c r="R44" s="101">
        <f t="shared" si="2"/>
        <v>-22</v>
      </c>
    </row>
    <row r="45" spans="1:18" x14ac:dyDescent="0.25">
      <c r="A45" t="str">
        <f t="shared" si="1"/>
        <v>6CR</v>
      </c>
      <c r="B45" s="733" t="s">
        <v>377</v>
      </c>
      <c r="C45" s="734" t="s">
        <v>263</v>
      </c>
      <c r="D45" s="734" t="s">
        <v>356</v>
      </c>
      <c r="E45" s="735" t="s">
        <v>363</v>
      </c>
      <c r="F45" s="756">
        <v>41</v>
      </c>
      <c r="G45" s="759">
        <v>1</v>
      </c>
      <c r="H45" s="537">
        <v>1</v>
      </c>
      <c r="I45" s="537">
        <v>1</v>
      </c>
      <c r="J45" s="537">
        <v>1</v>
      </c>
      <c r="K45" s="537">
        <v>1</v>
      </c>
      <c r="L45" s="537">
        <v>1</v>
      </c>
      <c r="M45" s="726">
        <v>0</v>
      </c>
      <c r="N45" s="726">
        <v>0</v>
      </c>
      <c r="O45" s="763">
        <f t="shared" si="3"/>
        <v>0</v>
      </c>
      <c r="P45" s="766">
        <f t="shared" si="4"/>
        <v>0</v>
      </c>
      <c r="Q45">
        <f>VLOOKUP(A45,[3]Sheet1!$A$4:$B$43,2,FALSE)</f>
        <v>23</v>
      </c>
      <c r="R45" s="101">
        <f t="shared" si="2"/>
        <v>-23</v>
      </c>
    </row>
    <row r="46" spans="1:18" x14ac:dyDescent="0.25">
      <c r="A46" t="str">
        <f t="shared" si="1"/>
        <v>7AF</v>
      </c>
      <c r="B46" s="733" t="s">
        <v>378</v>
      </c>
      <c r="C46" s="734" t="s">
        <v>264</v>
      </c>
      <c r="D46" s="734" t="s">
        <v>374</v>
      </c>
      <c r="E46" s="735" t="s">
        <v>356</v>
      </c>
      <c r="F46" s="756">
        <v>136.5</v>
      </c>
      <c r="G46" s="759">
        <v>1</v>
      </c>
      <c r="H46" s="537">
        <v>1</v>
      </c>
      <c r="I46" s="537">
        <v>1</v>
      </c>
      <c r="J46" s="537">
        <v>1</v>
      </c>
      <c r="K46" s="537">
        <v>1</v>
      </c>
      <c r="L46" s="537">
        <v>0</v>
      </c>
      <c r="M46" s="726">
        <v>0</v>
      </c>
      <c r="N46" s="726">
        <v>0</v>
      </c>
      <c r="O46" s="763">
        <f t="shared" si="3"/>
        <v>0</v>
      </c>
      <c r="P46" s="766">
        <f t="shared" si="4"/>
        <v>0</v>
      </c>
      <c r="Q46">
        <f>VLOOKUP(A46,[3]Sheet1!$A$4:$B$43,2,FALSE)</f>
        <v>0</v>
      </c>
      <c r="R46" s="101">
        <f t="shared" si="2"/>
        <v>0</v>
      </c>
    </row>
    <row r="47" spans="1:18" x14ac:dyDescent="0.25">
      <c r="A47" t="str">
        <f t="shared" si="1"/>
        <v>7AR</v>
      </c>
      <c r="B47" s="733" t="s">
        <v>378</v>
      </c>
      <c r="C47" s="734" t="s">
        <v>263</v>
      </c>
      <c r="D47" s="734" t="s">
        <v>356</v>
      </c>
      <c r="E47" s="735" t="s">
        <v>374</v>
      </c>
      <c r="F47" s="756">
        <v>136.5</v>
      </c>
      <c r="G47" s="759">
        <v>1</v>
      </c>
      <c r="H47" s="537">
        <v>1</v>
      </c>
      <c r="I47" s="537">
        <v>1</v>
      </c>
      <c r="J47" s="537">
        <v>1</v>
      </c>
      <c r="K47" s="537">
        <v>1</v>
      </c>
      <c r="L47" s="537">
        <v>1</v>
      </c>
      <c r="M47" s="726">
        <v>0</v>
      </c>
      <c r="N47" s="726">
        <v>0</v>
      </c>
      <c r="O47" s="763">
        <f t="shared" si="3"/>
        <v>0</v>
      </c>
      <c r="P47" s="766">
        <f t="shared" si="4"/>
        <v>0</v>
      </c>
      <c r="Q47">
        <f>VLOOKUP(A47,[3]Sheet1!$A$4:$B$43,2,FALSE)</f>
        <v>0</v>
      </c>
      <c r="R47" s="101">
        <f t="shared" si="2"/>
        <v>0</v>
      </c>
    </row>
    <row r="48" spans="1:18" x14ac:dyDescent="0.25">
      <c r="A48" t="str">
        <f t="shared" si="1"/>
        <v>7CF</v>
      </c>
      <c r="B48" s="733" t="s">
        <v>379</v>
      </c>
      <c r="C48" s="734" t="s">
        <v>264</v>
      </c>
      <c r="D48" s="734" t="s">
        <v>380</v>
      </c>
      <c r="E48" s="735" t="s">
        <v>356</v>
      </c>
      <c r="F48" s="756">
        <v>117.5</v>
      </c>
      <c r="G48" s="759">
        <v>1</v>
      </c>
      <c r="H48" s="537">
        <v>1</v>
      </c>
      <c r="I48" s="537">
        <v>1</v>
      </c>
      <c r="J48" s="537">
        <v>1</v>
      </c>
      <c r="K48" s="537">
        <v>1</v>
      </c>
      <c r="L48" s="537">
        <v>1</v>
      </c>
      <c r="M48" s="726">
        <v>1</v>
      </c>
      <c r="N48" s="726">
        <v>1</v>
      </c>
      <c r="O48" s="763">
        <f t="shared" si="3"/>
        <v>0</v>
      </c>
      <c r="P48" s="766">
        <f t="shared" si="4"/>
        <v>0</v>
      </c>
      <c r="Q48">
        <f>VLOOKUP(A48,[3]Sheet1!$A$4:$B$43,2,FALSE)</f>
        <v>26</v>
      </c>
      <c r="R48" s="101">
        <f t="shared" si="2"/>
        <v>-26</v>
      </c>
    </row>
    <row r="49" spans="1:18" x14ac:dyDescent="0.25">
      <c r="A49" t="str">
        <f t="shared" si="1"/>
        <v>7CR</v>
      </c>
      <c r="B49" s="733" t="s">
        <v>379</v>
      </c>
      <c r="C49" s="734" t="s">
        <v>263</v>
      </c>
      <c r="D49" s="734" t="s">
        <v>356</v>
      </c>
      <c r="E49" s="735" t="s">
        <v>380</v>
      </c>
      <c r="F49" s="756">
        <v>117.5</v>
      </c>
      <c r="G49" s="759">
        <v>1</v>
      </c>
      <c r="H49" s="537">
        <v>1</v>
      </c>
      <c r="I49" s="537">
        <v>1</v>
      </c>
      <c r="J49" s="537">
        <v>1</v>
      </c>
      <c r="K49" s="537">
        <v>1</v>
      </c>
      <c r="L49" s="537">
        <v>1</v>
      </c>
      <c r="M49" s="726">
        <v>1</v>
      </c>
      <c r="N49" s="726">
        <v>1</v>
      </c>
      <c r="O49" s="763">
        <f t="shared" si="3"/>
        <v>0</v>
      </c>
      <c r="P49" s="766">
        <f t="shared" si="4"/>
        <v>0</v>
      </c>
      <c r="Q49">
        <f>VLOOKUP(A49,[3]Sheet1!$A$4:$B$43,2,FALSE)</f>
        <v>27</v>
      </c>
      <c r="R49" s="101">
        <f t="shared" si="2"/>
        <v>-27</v>
      </c>
    </row>
    <row r="50" spans="1:18" x14ac:dyDescent="0.25">
      <c r="A50" t="str">
        <f t="shared" si="1"/>
        <v>8F</v>
      </c>
      <c r="B50" s="733" t="s">
        <v>381</v>
      </c>
      <c r="C50" s="734" t="s">
        <v>264</v>
      </c>
      <c r="D50" s="734" t="s">
        <v>382</v>
      </c>
      <c r="E50" s="735" t="s">
        <v>356</v>
      </c>
      <c r="F50" s="756">
        <v>78.8</v>
      </c>
      <c r="G50" s="759">
        <v>1</v>
      </c>
      <c r="H50" s="537">
        <v>1</v>
      </c>
      <c r="I50" s="537">
        <v>1</v>
      </c>
      <c r="J50" s="537">
        <v>1</v>
      </c>
      <c r="K50" s="537">
        <v>0</v>
      </c>
      <c r="L50" s="537">
        <v>1</v>
      </c>
      <c r="M50" s="726">
        <v>0</v>
      </c>
      <c r="N50" s="726">
        <v>0</v>
      </c>
      <c r="O50" s="763">
        <f t="shared" si="3"/>
        <v>0</v>
      </c>
      <c r="P50" s="766">
        <f t="shared" si="4"/>
        <v>0</v>
      </c>
      <c r="Q50">
        <f>VLOOKUP(A50,[3]Sheet1!$A$4:$B$43,2,FALSE)</f>
        <v>18</v>
      </c>
      <c r="R50" s="101">
        <f t="shared" si="2"/>
        <v>-18</v>
      </c>
    </row>
    <row r="51" spans="1:18" x14ac:dyDescent="0.25">
      <c r="A51" t="str">
        <f t="shared" si="1"/>
        <v>8R</v>
      </c>
      <c r="B51" s="733" t="s">
        <v>381</v>
      </c>
      <c r="C51" s="734" t="s">
        <v>263</v>
      </c>
      <c r="D51" s="734" t="s">
        <v>356</v>
      </c>
      <c r="E51" s="735" t="s">
        <v>382</v>
      </c>
      <c r="F51" s="756">
        <v>78.8</v>
      </c>
      <c r="G51" s="759">
        <v>1</v>
      </c>
      <c r="H51" s="537">
        <v>1</v>
      </c>
      <c r="I51" s="537">
        <v>1</v>
      </c>
      <c r="J51" s="537">
        <v>1</v>
      </c>
      <c r="K51" s="537">
        <v>0</v>
      </c>
      <c r="L51" s="537">
        <v>1</v>
      </c>
      <c r="M51" s="726">
        <v>0</v>
      </c>
      <c r="N51" s="726">
        <v>0</v>
      </c>
      <c r="O51" s="763">
        <f t="shared" si="3"/>
        <v>0</v>
      </c>
      <c r="P51" s="766">
        <f t="shared" si="4"/>
        <v>0</v>
      </c>
      <c r="Q51">
        <f>VLOOKUP(A51,[3]Sheet1!$A$4:$B$43,2,FALSE)</f>
        <v>19</v>
      </c>
      <c r="R51" s="101">
        <f t="shared" si="2"/>
        <v>-19</v>
      </c>
    </row>
    <row r="52" spans="1:18" x14ac:dyDescent="0.25">
      <c r="A52" t="str">
        <f t="shared" si="1"/>
        <v>9AF</v>
      </c>
      <c r="B52" s="733" t="s">
        <v>383</v>
      </c>
      <c r="C52" s="734" t="s">
        <v>264</v>
      </c>
      <c r="D52" s="734" t="s">
        <v>384</v>
      </c>
      <c r="E52" s="735" t="s">
        <v>385</v>
      </c>
      <c r="F52" s="756">
        <v>70.3</v>
      </c>
      <c r="G52" s="759">
        <v>1</v>
      </c>
      <c r="H52" s="537">
        <v>1</v>
      </c>
      <c r="I52" s="537">
        <v>1</v>
      </c>
      <c r="J52" s="537">
        <v>1</v>
      </c>
      <c r="K52" s="537">
        <v>1</v>
      </c>
      <c r="L52" s="537">
        <v>1</v>
      </c>
      <c r="M52" s="726">
        <v>0</v>
      </c>
      <c r="N52" s="726">
        <v>0</v>
      </c>
      <c r="O52" s="763">
        <f t="shared" si="3"/>
        <v>0</v>
      </c>
      <c r="P52" s="766">
        <f t="shared" si="4"/>
        <v>0</v>
      </c>
      <c r="Q52">
        <f>VLOOKUP(A52,[3]Sheet1!$A$4:$B$43,2,FALSE)</f>
        <v>22</v>
      </c>
      <c r="R52" s="101">
        <f t="shared" si="2"/>
        <v>-22</v>
      </c>
    </row>
    <row r="53" spans="1:18" x14ac:dyDescent="0.25">
      <c r="A53" t="str">
        <f t="shared" si="1"/>
        <v>9AR</v>
      </c>
      <c r="B53" s="733" t="s">
        <v>383</v>
      </c>
      <c r="C53" s="734" t="s">
        <v>263</v>
      </c>
      <c r="D53" s="734" t="s">
        <v>385</v>
      </c>
      <c r="E53" s="735" t="s">
        <v>384</v>
      </c>
      <c r="F53" s="756">
        <v>70.3</v>
      </c>
      <c r="G53" s="759">
        <v>1</v>
      </c>
      <c r="H53" s="537">
        <v>1</v>
      </c>
      <c r="I53" s="537">
        <v>1</v>
      </c>
      <c r="J53" s="537">
        <v>1</v>
      </c>
      <c r="K53" s="537">
        <v>1</v>
      </c>
      <c r="L53" s="537">
        <v>1</v>
      </c>
      <c r="M53" s="726">
        <v>0</v>
      </c>
      <c r="N53" s="726">
        <v>0</v>
      </c>
      <c r="O53" s="763">
        <f>(G53*$G$58)+(H53*$H$58)+(I53*$I$58)+(J53*$J$58)+(K53*$K$58)+(L53*$L$58)+(M53*$M$58)+(N53*$N$58)</f>
        <v>0</v>
      </c>
      <c r="P53" s="766">
        <f t="shared" si="4"/>
        <v>0</v>
      </c>
      <c r="Q53">
        <f>VLOOKUP(A53,[3]Sheet1!$A$4:$B$43,2,FALSE)</f>
        <v>23</v>
      </c>
      <c r="R53" s="101">
        <f t="shared" si="2"/>
        <v>-23</v>
      </c>
    </row>
    <row r="54" spans="1:18" x14ac:dyDescent="0.25">
      <c r="A54" t="str">
        <f t="shared" si="1"/>
        <v>9BF</v>
      </c>
      <c r="B54" s="733" t="s">
        <v>386</v>
      </c>
      <c r="C54" s="734" t="s">
        <v>264</v>
      </c>
      <c r="D54" s="734" t="s">
        <v>387</v>
      </c>
      <c r="E54" s="735" t="s">
        <v>385</v>
      </c>
      <c r="F54" s="756">
        <v>78</v>
      </c>
      <c r="G54" s="759">
        <v>1</v>
      </c>
      <c r="H54" s="537">
        <v>1</v>
      </c>
      <c r="I54" s="537">
        <v>1</v>
      </c>
      <c r="J54" s="537">
        <v>1</v>
      </c>
      <c r="K54" s="537">
        <v>1</v>
      </c>
      <c r="L54" s="537">
        <v>1</v>
      </c>
      <c r="M54" s="726">
        <v>0</v>
      </c>
      <c r="N54" s="726">
        <v>0</v>
      </c>
      <c r="O54" s="763">
        <f>(G54*$G$58)+(H54*$H$58)+(I54*$I$58)+(J54*$J$58)+(K54*$K$58)+(L54*$L$58)+(M54*$M$58)+(N54*$N$58)</f>
        <v>0</v>
      </c>
      <c r="P54" s="766">
        <f t="shared" si="4"/>
        <v>0</v>
      </c>
      <c r="Q54">
        <f>VLOOKUP(A54,[3]Sheet1!$A$4:$B$43,2,FALSE)</f>
        <v>22</v>
      </c>
      <c r="R54" s="101">
        <f t="shared" si="2"/>
        <v>-22</v>
      </c>
    </row>
    <row r="55" spans="1:18" x14ac:dyDescent="0.25">
      <c r="A55" t="str">
        <f t="shared" si="1"/>
        <v>9BR</v>
      </c>
      <c r="B55" s="733" t="s">
        <v>386</v>
      </c>
      <c r="C55" s="734" t="s">
        <v>263</v>
      </c>
      <c r="D55" s="734" t="s">
        <v>385</v>
      </c>
      <c r="E55" s="735" t="s">
        <v>388</v>
      </c>
      <c r="F55" s="756">
        <v>78</v>
      </c>
      <c r="G55" s="759">
        <v>1</v>
      </c>
      <c r="H55" s="537">
        <v>1</v>
      </c>
      <c r="I55" s="537">
        <v>1</v>
      </c>
      <c r="J55" s="537">
        <v>1</v>
      </c>
      <c r="K55" s="537">
        <v>1</v>
      </c>
      <c r="L55" s="537">
        <v>1</v>
      </c>
      <c r="M55" s="726">
        <v>0</v>
      </c>
      <c r="N55" s="726">
        <v>0</v>
      </c>
      <c r="O55" s="763">
        <f>(G55*$G$58)+(H55*$H$58)+(I55*$I$58)+(J55*$J$58)+(K55*$K$58)+(L55*$L$58)+(M55*$M$58)+(N55*$N$58)</f>
        <v>0</v>
      </c>
      <c r="P55" s="766">
        <f t="shared" si="4"/>
        <v>0</v>
      </c>
      <c r="Q55">
        <f>VLOOKUP(A55,[3]Sheet1!$A$4:$B$43,2,FALSE)</f>
        <v>23</v>
      </c>
      <c r="R55" s="101">
        <f t="shared" si="2"/>
        <v>-23</v>
      </c>
    </row>
    <row r="56" spans="1:18" ht="13" thickBot="1" x14ac:dyDescent="0.3">
      <c r="B56" s="525"/>
      <c r="C56" s="548"/>
      <c r="D56" s="549"/>
      <c r="E56" s="550"/>
      <c r="F56" s="757"/>
      <c r="G56" s="760"/>
      <c r="H56" s="553"/>
      <c r="I56" s="553"/>
      <c r="J56" s="553"/>
      <c r="K56" s="553"/>
      <c r="L56" s="553"/>
      <c r="M56" s="553"/>
      <c r="N56" s="742"/>
      <c r="O56" s="764"/>
      <c r="P56" s="761"/>
    </row>
    <row r="57" spans="1:18" ht="13" x14ac:dyDescent="0.3">
      <c r="B57" s="190"/>
      <c r="C57" s="190"/>
      <c r="D57" s="52" t="s">
        <v>117</v>
      </c>
      <c r="E57" s="190"/>
      <c r="F57" s="153"/>
      <c r="G57" s="523">
        <f t="shared" ref="G57:P57" si="5">SUM(G16:G56)</f>
        <v>38</v>
      </c>
      <c r="H57" s="523">
        <f t="shared" si="5"/>
        <v>38</v>
      </c>
      <c r="I57" s="523">
        <f t="shared" si="5"/>
        <v>38</v>
      </c>
      <c r="J57" s="523">
        <f t="shared" si="5"/>
        <v>38</v>
      </c>
      <c r="K57" s="523">
        <f t="shared" si="5"/>
        <v>36</v>
      </c>
      <c r="L57" s="523">
        <f t="shared" si="5"/>
        <v>33</v>
      </c>
      <c r="M57" s="523">
        <f t="shared" si="5"/>
        <v>9</v>
      </c>
      <c r="N57" s="523">
        <f t="shared" si="5"/>
        <v>9</v>
      </c>
      <c r="O57" s="524">
        <f t="shared" si="5"/>
        <v>0</v>
      </c>
      <c r="P57" s="582">
        <f t="shared" si="5"/>
        <v>0</v>
      </c>
    </row>
    <row r="58" spans="1:18" ht="13" x14ac:dyDescent="0.3">
      <c r="B58" s="190"/>
      <c r="C58" s="190"/>
      <c r="D58" s="52" t="s">
        <v>118</v>
      </c>
      <c r="E58" s="190"/>
      <c r="F58" s="153"/>
      <c r="G58" s="732">
        <v>0</v>
      </c>
      <c r="H58" s="732">
        <v>0</v>
      </c>
      <c r="I58" s="732">
        <v>0</v>
      </c>
      <c r="J58" s="732">
        <v>0</v>
      </c>
      <c r="K58" s="732">
        <v>0</v>
      </c>
      <c r="L58" s="732">
        <v>0</v>
      </c>
      <c r="M58" s="732">
        <v>0</v>
      </c>
      <c r="N58" s="732">
        <v>0</v>
      </c>
    </row>
    <row r="59" spans="1:18" ht="13" x14ac:dyDescent="0.3">
      <c r="B59" s="190"/>
      <c r="C59" s="190"/>
      <c r="D59" s="52"/>
      <c r="E59" s="190"/>
      <c r="F59" s="153"/>
      <c r="G59" s="336"/>
      <c r="H59" s="336"/>
      <c r="I59" s="336"/>
      <c r="J59" s="336"/>
      <c r="K59" s="336"/>
      <c r="L59" s="336"/>
      <c r="M59" s="336"/>
      <c r="N59" s="336"/>
    </row>
    <row r="62" spans="1:18" x14ac:dyDescent="0.25">
      <c r="O62" s="59" t="e">
        <f>O57+#REF!</f>
        <v>#REF!</v>
      </c>
      <c r="P62" s="100" t="e">
        <f>P57+#REF!</f>
        <v>#REF!</v>
      </c>
    </row>
  </sheetData>
  <mergeCells count="18">
    <mergeCell ref="G13:G14"/>
    <mergeCell ref="H13:H14"/>
    <mergeCell ref="I13:I14"/>
    <mergeCell ref="J13:J14"/>
    <mergeCell ref="K13:K14"/>
    <mergeCell ref="L13:L14"/>
    <mergeCell ref="B1:P1"/>
    <mergeCell ref="I7:J7"/>
    <mergeCell ref="B11:B14"/>
    <mergeCell ref="C11:C14"/>
    <mergeCell ref="D11:D14"/>
    <mergeCell ref="E11:E14"/>
    <mergeCell ref="F11:F14"/>
    <mergeCell ref="G11:N12"/>
    <mergeCell ref="O11:O14"/>
    <mergeCell ref="P11:P14"/>
    <mergeCell ref="M13:M14"/>
    <mergeCell ref="N13:N14"/>
  </mergeCells>
  <pageMargins left="0.74803149606299213" right="0.74803149606299213" top="0.98425196850393704" bottom="0.98425196850393704" header="0.51181102362204722" footer="0.51181102362204722"/>
  <pageSetup paperSize="9" scale="48" orientation="portrait" horizontalDpi="4294967292" verticalDpi="4294967292" r:id="rId1"/>
  <headerFooter alignWithMargins="0"/>
  <colBreaks count="1" manualBreakCount="1">
    <brk id="16" max="136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23</vt:i4>
      </vt:variant>
    </vt:vector>
  </HeadingPairs>
  <TitlesOfParts>
    <vt:vector size="37" baseType="lpstr">
      <vt:lpstr>STATS &amp; KPIs</vt:lpstr>
      <vt:lpstr>FORM A</vt:lpstr>
      <vt:lpstr>FORM B</vt:lpstr>
      <vt:lpstr>FORM C</vt:lpstr>
      <vt:lpstr>FORM D</vt:lpstr>
      <vt:lpstr>FORM E</vt:lpstr>
      <vt:lpstr>FORM H</vt:lpstr>
      <vt:lpstr>FORM F1 SUB - STD BUS</vt:lpstr>
      <vt:lpstr>FORM F2 UNSUB - STD BUS </vt:lpstr>
      <vt:lpstr>FORM G1</vt:lpstr>
      <vt:lpstr>FORM G2</vt:lpstr>
      <vt:lpstr>FORM I1 SUB STD NORMAL</vt:lpstr>
      <vt:lpstr>FORM I2 UNSUB STD </vt:lpstr>
      <vt:lpstr>FORM I1 SUB STD NORMAL SK</vt:lpstr>
      <vt:lpstr>'FORM A'!Print_Area</vt:lpstr>
      <vt:lpstr>'FORM B'!Print_Area</vt:lpstr>
      <vt:lpstr>'FORM C'!Print_Area</vt:lpstr>
      <vt:lpstr>'FORM D'!Print_Area</vt:lpstr>
      <vt:lpstr>'FORM E'!Print_Area</vt:lpstr>
      <vt:lpstr>'FORM F1 SUB - STD BUS'!Print_Area</vt:lpstr>
      <vt:lpstr>'FORM F2 UNSUB - STD BUS '!Print_Area</vt:lpstr>
      <vt:lpstr>'FORM G1'!Print_Area</vt:lpstr>
      <vt:lpstr>'FORM G2'!Print_Area</vt:lpstr>
      <vt:lpstr>'FORM H'!Print_Area</vt:lpstr>
      <vt:lpstr>'FORM I1 SUB STD NORMAL'!Print_Area</vt:lpstr>
      <vt:lpstr>'FORM I1 SUB STD NORMAL SK'!Print_Area</vt:lpstr>
      <vt:lpstr>'FORM I2 UNSUB STD '!Print_Area</vt:lpstr>
      <vt:lpstr>'STATS &amp; KPIs'!Print_Area</vt:lpstr>
      <vt:lpstr>'FORM B'!Print_Titles</vt:lpstr>
      <vt:lpstr>'FORM C'!Print_Titles</vt:lpstr>
      <vt:lpstr>'FORM D'!Print_Titles</vt:lpstr>
      <vt:lpstr>'FORM F1 SUB - STD BUS'!Print_Titles</vt:lpstr>
      <vt:lpstr>'FORM F2 UNSUB - STD BUS '!Print_Titles</vt:lpstr>
      <vt:lpstr>'FORM G1'!Print_Titles</vt:lpstr>
      <vt:lpstr>'FORM I1 SUB STD NORMAL'!Print_Titles</vt:lpstr>
      <vt:lpstr>'FORM I1 SUB STD NORMAL SK'!Print_Titles</vt:lpstr>
      <vt:lpstr>'FORM I2 UNSUB STD '!Print_Titles</vt:lpstr>
    </vt:vector>
  </TitlesOfParts>
  <Company>Ngubeni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Anele Ackerman</cp:lastModifiedBy>
  <cp:lastPrinted>2024-05-31T09:00:13Z</cp:lastPrinted>
  <dcterms:created xsi:type="dcterms:W3CDTF">2000-05-07T17:42:09Z</dcterms:created>
  <dcterms:modified xsi:type="dcterms:W3CDTF">2025-06-10T12:34:06Z</dcterms:modified>
</cp:coreProperties>
</file>